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asikornbankgroup.sharepoint.com/sites/KGPIntegration/Shared Documents/Integration Team/UAT_Result_Form/ATP/"/>
    </mc:Choice>
  </mc:AlternateContent>
  <xr:revisionPtr revIDLastSave="142" documentId="13_ncr:1_{44FB17CF-D698-4CA1-B160-E29D47FE2EC3}" xr6:coauthVersionLast="47" xr6:coauthVersionMax="47" xr10:uidLastSave="{0E86F2C5-5A7B-40AE-A983-4273410AF33C}"/>
  <bookViews>
    <workbookView xWindow="-108" yWindow="-108" windowWidth="23256" windowHeight="13896" tabRatio="794" xr2:uid="{00000000-000D-0000-FFFF-FFFF00000000}"/>
  </bookViews>
  <sheets>
    <sheet name="PGW-API" sheetId="4" r:id="rId1"/>
    <sheet name="KPN-CardFull-API" sheetId="5" r:id="rId2"/>
    <sheet name="KPN-CardFull-JS-Logs" sheetId="20" r:id="rId3"/>
    <sheet name="KPN-Wallet-API" sheetId="16" r:id="rId4"/>
    <sheet name="KPN-Installment-API" sheetId="6" r:id="rId5"/>
    <sheet name="KPN-ODD-API" sheetId="8" r:id="rId6"/>
    <sheet name="Complicate" sheetId="3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tpBqvf2upUHU0q95HLKQnK/BH9U981VLjKsst0IPoH0="/>
    </ext>
  </extLst>
</workbook>
</file>

<file path=xl/calcChain.xml><?xml version="1.0" encoding="utf-8"?>
<calcChain xmlns="http://schemas.openxmlformats.org/spreadsheetml/2006/main">
  <c r="N9" i="20" l="1"/>
  <c r="Q71" i="16" l="1"/>
  <c r="Q70" i="16"/>
  <c r="Q69" i="16"/>
  <c r="Q68" i="16"/>
  <c r="S9" i="16"/>
  <c r="Q50" i="4"/>
  <c r="Q49" i="4"/>
  <c r="Q48" i="4"/>
  <c r="Q47" i="4"/>
  <c r="P47" i="8"/>
  <c r="P46" i="8"/>
  <c r="P45" i="8"/>
  <c r="P44" i="8"/>
  <c r="R9" i="8"/>
  <c r="R9" i="6"/>
  <c r="P70" i="6"/>
  <c r="P71" i="6"/>
  <c r="P72" i="6"/>
  <c r="P73" i="6"/>
  <c r="P59" i="5"/>
  <c r="P58" i="5"/>
  <c r="P57" i="5"/>
  <c r="P56" i="5"/>
  <c r="R9" i="5"/>
  <c r="S9" i="4"/>
  <c r="I74" i="3"/>
  <c r="I73" i="3"/>
  <c r="I72" i="3"/>
  <c r="J72" i="3" s="1"/>
  <c r="I11" i="3"/>
</calcChain>
</file>

<file path=xl/sharedStrings.xml><?xml version="1.0" encoding="utf-8"?>
<sst xmlns="http://schemas.openxmlformats.org/spreadsheetml/2006/main" count="938" uniqueCount="419">
  <si>
    <t>Testing env.</t>
  </si>
  <si>
    <t>UAT</t>
  </si>
  <si>
    <t>PROD</t>
  </si>
  <si>
    <t>Partner name</t>
  </si>
  <si>
    <t>Testing period</t>
  </si>
  <si>
    <t>Go live date</t>
  </si>
  <si>
    <t>Partner type</t>
  </si>
  <si>
    <t>Individual</t>
  </si>
  <si>
    <t>Juristic</t>
  </si>
  <si>
    <t>Sign off date</t>
  </si>
  <si>
    <t>Service</t>
  </si>
  <si>
    <t>Onboard</t>
  </si>
  <si>
    <t>KGP</t>
  </si>
  <si>
    <t>Payment</t>
  </si>
  <si>
    <t>Credit Card</t>
  </si>
  <si>
    <t>3DS</t>
  </si>
  <si>
    <t>non-3DS</t>
  </si>
  <si>
    <t>KPLUS</t>
  </si>
  <si>
    <t>SCB</t>
  </si>
  <si>
    <t>KTB</t>
  </si>
  <si>
    <t>BOT QR</t>
  </si>
  <si>
    <t>TrueMoney</t>
  </si>
  <si>
    <t>Void</t>
  </si>
  <si>
    <t>Refund</t>
  </si>
  <si>
    <t>Payout</t>
  </si>
  <si>
    <t>Partner's testing result (required to complete all cases)</t>
  </si>
  <si>
    <t>This is a critical requirement for verification. Artifact logs are *mandatory.
Please compile a list, retain all request and response data, and complete the corresponding columns in the table accordingly.</t>
  </si>
  <si>
    <t>No.</t>
  </si>
  <si>
    <t>Test case</t>
  </si>
  <si>
    <t>Expected</t>
  </si>
  <si>
    <t>*Result</t>
  </si>
  <si>
    <t>*Request</t>
  </si>
  <si>
    <t>*Response</t>
  </si>
  <si>
    <r>
      <t>Remark</t>
    </r>
    <r>
      <rPr>
        <sz val="9"/>
        <color rgb="FF000000"/>
        <rFont val="Calibri"/>
        <family val="2"/>
        <scheme val="minor"/>
      </rPr>
      <t xml:space="preserve">
(if passed with condition or fail, please identify)</t>
    </r>
  </si>
  <si>
    <t>1.0</t>
  </si>
  <si>
    <t>Normal</t>
  </si>
  <si>
    <t>Can generate deeplink</t>
  </si>
  <si>
    <t>PASSED</t>
  </si>
  <si>
    <t>1.1</t>
  </si>
  <si>
    <t>Create Merchant</t>
  </si>
  <si>
    <t>1.2</t>
  </si>
  <si>
    <t>Update Merchant Info</t>
  </si>
  <si>
    <t>1.3</t>
  </si>
  <si>
    <t>Inquiry Merchant</t>
  </si>
  <si>
    <t>1.4</t>
  </si>
  <si>
    <t>Create Shop</t>
  </si>
  <si>
    <t>1.5</t>
  </si>
  <si>
    <t>Update Shop Info</t>
  </si>
  <si>
    <t>1.6</t>
  </si>
  <si>
    <t>Inquiry Shop</t>
  </si>
  <si>
    <t>1.8</t>
  </si>
  <si>
    <t>2.1</t>
  </si>
  <si>
    <t>2.2</t>
  </si>
  <si>
    <r>
      <rPr>
        <i/>
        <u/>
        <sz val="9"/>
        <color rgb="FFFF0000"/>
        <rFont val="Calibri"/>
        <family val="2"/>
        <scheme val="minor"/>
      </rPr>
      <t>Can't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000000"/>
        <rFont val="Calibri"/>
        <family val="2"/>
        <scheme val="minor"/>
      </rPr>
      <t>generate deeplink</t>
    </r>
  </si>
  <si>
    <t>2.5</t>
  </si>
  <si>
    <t>App switch - K+</t>
  </si>
  <si>
    <t>2.6</t>
  </si>
  <si>
    <t>2.7</t>
  </si>
  <si>
    <t>App switch - SCB</t>
  </si>
  <si>
    <t>2.8</t>
  </si>
  <si>
    <t>2.9</t>
  </si>
  <si>
    <t>2.10</t>
  </si>
  <si>
    <t>2.11</t>
  </si>
  <si>
    <t>App switch - KTB</t>
  </si>
  <si>
    <t>2.12</t>
  </si>
  <si>
    <t>2.13</t>
  </si>
  <si>
    <t>2.14</t>
  </si>
  <si>
    <t>2.15</t>
  </si>
  <si>
    <t>2.21</t>
  </si>
  <si>
    <t>Can make payment / receive callback</t>
  </si>
  <si>
    <t>2.22</t>
  </si>
  <si>
    <t>Inquiry Transaction</t>
  </si>
  <si>
    <t>Paid txn</t>
  </si>
  <si>
    <t>Unpaid txn</t>
  </si>
  <si>
    <t>3.1</t>
  </si>
  <si>
    <t>3.2</t>
  </si>
  <si>
    <t>3.9</t>
  </si>
  <si>
    <t>Refund Transaction</t>
  </si>
  <si>
    <t>Inquiry Shop Payout</t>
  </si>
  <si>
    <t>Create Shop Payout
(Level = S)</t>
  </si>
  <si>
    <t>Create Merchant Payout
(Level = M)</t>
  </si>
  <si>
    <t>Inquiry Merchant Payout</t>
  </si>
  <si>
    <t>Passed</t>
  </si>
  <si>
    <t>Passed w/condition</t>
  </si>
  <si>
    <t>Failed</t>
  </si>
  <si>
    <t>N/A</t>
  </si>
  <si>
    <t>KGP PGW-API Testing result and Artifact Logs</t>
  </si>
  <si>
    <t>Company ID</t>
  </si>
  <si>
    <t>Merchant</t>
  </si>
  <si>
    <t>Master Merchant</t>
  </si>
  <si>
    <t>Sub-Merchant</t>
  </si>
  <si>
    <t>QR</t>
  </si>
  <si>
    <t>QR V1</t>
  </si>
  <si>
    <t>API</t>
  </si>
  <si>
    <t>QR V2</t>
  </si>
  <si>
    <t>AppSwitch</t>
  </si>
  <si>
    <t>BAY</t>
  </si>
  <si>
    <t>ODD</t>
  </si>
  <si>
    <t>*Charge ID / Order ID</t>
  </si>
  <si>
    <t>System's Log</t>
  </si>
  <si>
    <t>Status</t>
  </si>
  <si>
    <t>Checker</t>
  </si>
  <si>
    <t>Example - Payment</t>
  </si>
  <si>
    <t>Test case - Inquiry Transaction</t>
  </si>
  <si>
    <t>Paid</t>
  </si>
  <si>
    <t>Can inquiry data and transaction status: Paid</t>
  </si>
  <si>
    <t>chrg_prod_qr_251105_08422f4606511fc5b41ed9477528dce543a52</t>
  </si>
  <si>
    <r>
      <t>https://openapi-uat.kgppayments.com/api/v2/charge/</t>
    </r>
    <r>
      <rPr>
        <sz val="9"/>
        <color rgb="FFFF0000"/>
        <rFont val="Calibri"/>
        <family val="2"/>
        <scheme val="minor"/>
      </rPr>
      <t>chrg_prod_qr_251105_08422f4606511fc5b41ed9477528dce543a52</t>
    </r>
  </si>
  <si>
    <r>
      <t>{
    "charge_id":"</t>
    </r>
    <r>
      <rPr>
        <sz val="9"/>
        <color rgb="FFFF0000"/>
        <rFont val="Calibri"/>
        <family val="2"/>
        <scheme val="minor"/>
      </rPr>
      <t>chrg_prod_qr_251105_08422f4606511fc5b41ed9477528dce543a52</t>
    </r>
    <r>
      <rPr>
        <sz val="9"/>
        <rFont val="Calibri"/>
        <family val="2"/>
        <scheme val="minor"/>
      </rPr>
      <t>",
    "object":"charge",
    "order_id":"order_prod_qr_251105_08422286807fdb725432b99a7aaa9a33afd06",
    "amount":10.0,
    "currency":"THB",
    "transaction_state":"Authorized",
    "source": {
        "source_id": "qr_prod_8422b537f2f4182341fbb983d5f48fe81ef4", "object":"qr", "brand":"ThaiQR"
    }
    ,
    "created_datetime":"2025-11-05T17:11:52+07:00",
    "status":"success",
    "authorized_datetime":"2025-11-05T17:14:14+07:00",
    "description":"Testing",
    "reference_order":"000004924145",
    "expired_datetime":"2025-11-05T17:28:52+07:00",
    "qr_reference2":"2511051711521413KRIX"
}</t>
    </r>
  </si>
  <si>
    <r>
      <t xml:space="preserve">Create Payment 
</t>
    </r>
    <r>
      <rPr>
        <b/>
        <sz val="9"/>
        <color theme="4"/>
        <rFont val="Calibri"/>
        <family val="2"/>
        <scheme val="minor"/>
      </rPr>
      <t>(Generate order)</t>
    </r>
  </si>
  <si>
    <t>Create payment</t>
  </si>
  <si>
    <t>Complete payment</t>
  </si>
  <si>
    <t>Transaction status: PAID</t>
  </si>
  <si>
    <r>
      <rPr>
        <b/>
        <sz val="9"/>
        <color theme="4"/>
        <rFont val="Calibri"/>
        <family val="2"/>
        <scheme val="minor"/>
      </rPr>
      <t>1.3</t>
    </r>
  </si>
  <si>
    <r>
      <t xml:space="preserve">Duplicated </t>
    </r>
    <r>
      <rPr>
        <b/>
        <i/>
        <sz val="9"/>
        <color rgb="FF000000"/>
        <rFont val="Calibri"/>
        <family val="2"/>
        <scheme val="minor"/>
      </rPr>
      <t>reference_order</t>
    </r>
  </si>
  <si>
    <r>
      <t xml:space="preserve">Create payment (for </t>
    </r>
    <r>
      <rPr>
        <b/>
        <sz val="9"/>
        <color theme="5"/>
        <rFont val="Calibri"/>
        <family val="2"/>
        <scheme val="minor"/>
      </rPr>
      <t>1.4</t>
    </r>
    <r>
      <rPr>
        <sz val="9"/>
        <rFont val="Calibri"/>
        <family val="2"/>
        <scheme val="minor"/>
      </rPr>
      <t>)</t>
    </r>
  </si>
  <si>
    <r>
      <rPr>
        <b/>
        <sz val="9"/>
        <color theme="5"/>
        <rFont val="Calibri"/>
        <family val="2"/>
        <scheme val="minor"/>
      </rPr>
      <t>1.4</t>
    </r>
  </si>
  <si>
    <r>
      <t xml:space="preserve">Create payment with duplicated reference_order </t>
    </r>
    <r>
      <rPr>
        <b/>
        <sz val="9"/>
        <color theme="4"/>
        <rFont val="Calibri"/>
        <family val="2"/>
        <scheme val="minor"/>
      </rPr>
      <t>(1.3)</t>
    </r>
  </si>
  <si>
    <r>
      <t xml:space="preserve">Create payment (for </t>
    </r>
    <r>
      <rPr>
        <b/>
        <sz val="9"/>
        <color rgb="FF7030A0"/>
        <rFont val="Calibri"/>
        <family val="2"/>
        <scheme val="minor"/>
      </rPr>
      <t>1.45</t>
    </r>
    <r>
      <rPr>
        <sz val="9"/>
        <rFont val="Calibri"/>
        <family val="2"/>
        <scheme val="minor"/>
      </rPr>
      <t>)</t>
    </r>
  </si>
  <si>
    <t>1.21</t>
  </si>
  <si>
    <t>1.22</t>
  </si>
  <si>
    <t>1.23</t>
  </si>
  <si>
    <t>1.24</t>
  </si>
  <si>
    <t>1.25</t>
  </si>
  <si>
    <t>1.31</t>
  </si>
  <si>
    <t>Create customer</t>
  </si>
  <si>
    <t>1.32</t>
  </si>
  <si>
    <t>1.33</t>
  </si>
  <si>
    <t>1.34</t>
  </si>
  <si>
    <t>1.35</t>
  </si>
  <si>
    <t>1.38</t>
  </si>
  <si>
    <r>
      <t xml:space="preserve">Confirm Payment
</t>
    </r>
    <r>
      <rPr>
        <sz val="9"/>
        <color rgb="FF000000"/>
        <rFont val="Calibri"/>
        <family val="2"/>
        <scheme val="minor"/>
      </rPr>
      <t>* Logs from your backend</t>
    </r>
  </si>
  <si>
    <t>1.44</t>
  </si>
  <si>
    <t>Can inquiry the transaction status as Paid.</t>
  </si>
  <si>
    <t>1.45</t>
  </si>
  <si>
    <t>Can inquiry the transaction status as Expired Or Not Paid.</t>
  </si>
  <si>
    <t>Create Refund</t>
  </si>
  <si>
    <t>Same Day</t>
  </si>
  <si>
    <t>Before cut off time (23:00)</t>
  </si>
  <si>
    <t>Can refund (same day) / Receive callback
refund_day_type : Same day</t>
  </si>
  <si>
    <t>After cut off time (23:00)</t>
  </si>
  <si>
    <r>
      <rPr>
        <i/>
        <u/>
        <sz val="9"/>
        <color rgb="FFFF0000"/>
        <rFont val="Calibri"/>
        <family val="2"/>
        <scheme val="minor"/>
      </rPr>
      <t>Can't</t>
    </r>
    <r>
      <rPr>
        <sz val="9"/>
        <color rgb="FF000000"/>
        <rFont val="Calibri"/>
        <family val="2"/>
        <scheme val="minor"/>
      </rPr>
      <t xml:space="preserve"> refund (same day)
refund_day_type : Next day</t>
    </r>
  </si>
  <si>
    <t>Next Day</t>
  </si>
  <si>
    <t>Can Refund
refund_day_type : Next day</t>
  </si>
  <si>
    <t>Inquiry refund (same day) transaction</t>
  </si>
  <si>
    <t>Can Inquiry data</t>
  </si>
  <si>
    <t>Inquiry refund (next day) transaction</t>
  </si>
  <si>
    <t>KGP KPN-CardFull-API Testing result and Artifact Logs</t>
  </si>
  <si>
    <t>Card brand</t>
  </si>
  <si>
    <t>VISA</t>
  </si>
  <si>
    <t>MASTERCARD</t>
  </si>
  <si>
    <t>JCB</t>
  </si>
  <si>
    <t>AMEX</t>
  </si>
  <si>
    <r>
      <t xml:space="preserve">This is a critical requirement for verification. Artifact logs are </t>
    </r>
    <r>
      <rPr>
        <b/>
        <i/>
        <sz val="9"/>
        <color rgb="FFFF0000"/>
        <rFont val="Calibri"/>
        <family val="2"/>
        <scheme val="minor"/>
      </rPr>
      <t>*mandatory</t>
    </r>
    <r>
      <rPr>
        <i/>
        <sz val="9"/>
        <color rgb="FFFF0000"/>
        <rFont val="Calibri"/>
        <family val="2"/>
        <scheme val="minor"/>
      </rPr>
      <t>.
Please compile a list, retain all request and response data, and complete the corresponding columns in the table accordingly.</t>
    </r>
  </si>
  <si>
    <t>* ChargeId</t>
  </si>
  <si>
    <t>* Result</t>
  </si>
  <si>
    <t>* Request</t>
  </si>
  <si>
    <t>* Response</t>
  </si>
  <si>
    <r>
      <rPr>
        <b/>
        <sz val="9"/>
        <color rgb="FF000000"/>
        <rFont val="Calibri"/>
        <family val="2"/>
        <scheme val="minor"/>
      </rPr>
      <t>Remark</t>
    </r>
    <r>
      <rPr>
        <sz val="9"/>
        <color rgb="FF000000"/>
        <rFont val="Calibri"/>
        <family val="2"/>
        <scheme val="minor"/>
      </rPr>
      <t xml:space="preserve">
(if passed with condition or fail, please identify)</t>
    </r>
  </si>
  <si>
    <t>Test case - Get token from Omise.js (NON-3DS)</t>
  </si>
  <si>
    <t>Success</t>
  </si>
  <si>
    <t>{
    "card": {
     "number": "4242424242424242",
     "name": "BUMBIN ARAUPORN",
     "expiration_month": "12",
     "expiration_year": "26",
     "security_code": "123",
     "country": "th"
      }
}</t>
  </si>
  <si>
    <r>
      <t>{
    "object": "token",
    "id": "</t>
    </r>
    <r>
      <rPr>
        <sz val="9"/>
        <color theme="3"/>
        <rFont val="Calibri"/>
        <family val="2"/>
        <scheme val="minor"/>
      </rPr>
      <t>tokn_test_66dda3ij7nb1xcvhmh1</t>
    </r>
    <r>
      <rPr>
        <sz val="9"/>
        <rFont val="Calibri"/>
        <family val="2"/>
        <scheme val="minor"/>
      </rPr>
      <t>",
    "livemode": false,
    "location": "https://vault.omise.co/tokens/tokn_test_66dda3ij7nb1xcvhmh1",
    "used": false,
   "charge_status": "unknown",
    "card": {
        "object": "card",
        "id": "card_test_66dda3ihal1h05xx3xo",
        "livemode": false,
        "location": null,
        "deleted": false,
        "street1": null,
        "street2": null,
        "city": null,
        "state": null,
        "phone_number": null,
        "postal_code": null,
        "country": "gb",
        "financing": "credit",
        "bank": "JPMORGAN CHASE BANK N.A.",
        "brand": "Visa",
        "fingerprint": "cyORGdgNzTlCwOeTIalDUeXTYpjprKSSVFO9sqfToUw=",
        "first_digits": null,
       "last_digits": "4242",
       "name": "BUMBIN ARAUPORN",
       "expiration_month": 12,
       "expiration_year": 2026,
       "security_code_check": true,
       "tokenization_method": null,
       "created_at": "2026-01-14T04:08:57Z"
   },
   "created_at": "2026-01-14T04:08:57Z"
}</t>
    </r>
  </si>
  <si>
    <t>Charge 
(Auto capture)</t>
  </si>
  <si>
    <t>NON-3DS</t>
  </si>
  <si>
    <t>Get token from Omise.js (NON-3DS)</t>
  </si>
  <si>
    <r>
      <t>Create charge (</t>
    </r>
    <r>
      <rPr>
        <b/>
        <sz val="9"/>
        <color theme="4"/>
        <rFont val="Calibri"/>
        <family val="2"/>
        <scheme val="minor"/>
      </rPr>
      <t>1.1</t>
    </r>
    <r>
      <rPr>
        <b/>
        <sz val="9"/>
        <color rgb="FF000000"/>
        <rFont val="Calibri"/>
        <family val="2"/>
        <scheme val="minor"/>
      </rPr>
      <t>)</t>
    </r>
  </si>
  <si>
    <r>
      <t xml:space="preserve">Create charge with the same token of </t>
    </r>
    <r>
      <rPr>
        <b/>
        <sz val="9"/>
        <color theme="5"/>
        <rFont val="Calibri"/>
        <family val="2"/>
        <scheme val="minor"/>
      </rPr>
      <t>1.2</t>
    </r>
  </si>
  <si>
    <r>
      <t>Fail</t>
    </r>
    <r>
      <rPr>
        <sz val="9"/>
        <color rgb="FF000000"/>
        <rFont val="Calibri"/>
        <family val="2"/>
        <scheme val="minor"/>
      </rPr>
      <t xml:space="preserve"> (Use one time token)</t>
    </r>
  </si>
  <si>
    <r>
      <t>Create charge with new token (</t>
    </r>
    <r>
      <rPr>
        <b/>
        <sz val="9"/>
        <color theme="4"/>
        <rFont val="Calibri"/>
        <family val="2"/>
        <scheme val="minor"/>
      </rPr>
      <t>1.1</t>
    </r>
    <r>
      <rPr>
        <b/>
        <sz val="9"/>
        <color rgb="FF000000"/>
        <rFont val="Calibri"/>
        <family val="2"/>
        <scheme val="minor"/>
      </rPr>
      <t>)</t>
    </r>
  </si>
  <si>
    <t>3DS
(return_uri is the required field in charge API)</t>
  </si>
  <si>
    <t>Get token from Omise.js (3DS)</t>
  </si>
  <si>
    <r>
      <t>Create charge (</t>
    </r>
    <r>
      <rPr>
        <b/>
        <sz val="9"/>
        <color theme="4"/>
        <rFont val="Calibri"/>
        <family val="2"/>
        <scheme val="minor"/>
      </rPr>
      <t>1.5</t>
    </r>
    <r>
      <rPr>
        <b/>
        <sz val="9"/>
        <color rgb="FF000000"/>
        <rFont val="Calibri"/>
        <family val="2"/>
        <scheme val="minor"/>
      </rPr>
      <t>)</t>
    </r>
  </si>
  <si>
    <r>
      <t>Create charge with the same token of</t>
    </r>
    <r>
      <rPr>
        <b/>
        <sz val="9"/>
        <color rgb="FF00B0F0"/>
        <rFont val="Calibri"/>
        <family val="2"/>
        <scheme val="minor"/>
      </rPr>
      <t xml:space="preserve"> </t>
    </r>
    <r>
      <rPr>
        <b/>
        <sz val="9"/>
        <color theme="5"/>
        <rFont val="Calibri"/>
        <family val="2"/>
        <scheme val="minor"/>
      </rPr>
      <t>1.6</t>
    </r>
  </si>
  <si>
    <r>
      <t>Create charge with new token (</t>
    </r>
    <r>
      <rPr>
        <b/>
        <sz val="9"/>
        <color theme="4"/>
        <rFont val="Calibri"/>
        <family val="2"/>
        <scheme val="minor"/>
      </rPr>
      <t>1.5</t>
    </r>
    <r>
      <rPr>
        <b/>
        <sz val="9"/>
        <color rgb="FF000000"/>
        <rFont val="Calibri"/>
        <family val="2"/>
        <scheme val="minor"/>
      </rPr>
      <t>)</t>
    </r>
  </si>
  <si>
    <t>Charge
(Manual capture)</t>
  </si>
  <si>
    <r>
      <t>Create charge (</t>
    </r>
    <r>
      <rPr>
        <b/>
        <sz val="9"/>
        <color theme="4"/>
        <rFont val="Calibri"/>
        <family val="2"/>
        <scheme val="minor"/>
      </rPr>
      <t>2.1</t>
    </r>
    <r>
      <rPr>
        <b/>
        <sz val="9"/>
        <color rgb="FF000000"/>
        <rFont val="Calibri"/>
        <family val="2"/>
        <scheme val="minor"/>
      </rPr>
      <t>)</t>
    </r>
  </si>
  <si>
    <r>
      <t xml:space="preserve">Create charge with the same token of </t>
    </r>
    <r>
      <rPr>
        <b/>
        <sz val="9"/>
        <color theme="5"/>
        <rFont val="Calibri"/>
        <family val="2"/>
        <scheme val="minor"/>
      </rPr>
      <t>2.2</t>
    </r>
  </si>
  <si>
    <r>
      <t>Pay charge (Capture) (</t>
    </r>
    <r>
      <rPr>
        <b/>
        <sz val="9"/>
        <color theme="5"/>
        <rFont val="Calibri"/>
        <family val="2"/>
        <scheme val="minor"/>
      </rPr>
      <t>2.2</t>
    </r>
    <r>
      <rPr>
        <b/>
        <sz val="9"/>
        <color rgb="FF000000"/>
        <rFont val="Calibri"/>
        <family val="2"/>
        <scheme val="minor"/>
      </rPr>
      <t>)</t>
    </r>
  </si>
  <si>
    <r>
      <t>Create charge with new token (</t>
    </r>
    <r>
      <rPr>
        <b/>
        <sz val="9"/>
        <color theme="4"/>
        <rFont val="Calibri"/>
        <family val="2"/>
        <scheme val="minor"/>
      </rPr>
      <t>2.1</t>
    </r>
    <r>
      <rPr>
        <b/>
        <sz val="9"/>
        <color rgb="FF000000"/>
        <rFont val="Calibri"/>
        <family val="2"/>
        <scheme val="minor"/>
      </rPr>
      <t>)</t>
    </r>
  </si>
  <si>
    <r>
      <t>Pay charge (Capture) (</t>
    </r>
    <r>
      <rPr>
        <b/>
        <sz val="9"/>
        <color theme="9"/>
        <rFont val="Calibri"/>
        <family val="2"/>
        <scheme val="minor"/>
      </rPr>
      <t>2.5</t>
    </r>
    <r>
      <rPr>
        <b/>
        <sz val="9"/>
        <color rgb="FF000000"/>
        <rFont val="Calibri"/>
        <family val="2"/>
        <scheme val="minor"/>
      </rPr>
      <t>)</t>
    </r>
  </si>
  <si>
    <r>
      <t>Create charge (</t>
    </r>
    <r>
      <rPr>
        <b/>
        <sz val="9"/>
        <color theme="4"/>
        <rFont val="Calibri"/>
        <family val="2"/>
        <scheme val="minor"/>
      </rPr>
      <t>2.7</t>
    </r>
    <r>
      <rPr>
        <b/>
        <sz val="9"/>
        <color rgb="FF000000"/>
        <rFont val="Calibri"/>
        <family val="2"/>
        <scheme val="minor"/>
      </rPr>
      <t>)</t>
    </r>
  </si>
  <si>
    <r>
      <t xml:space="preserve">Create charge with the same token of </t>
    </r>
    <r>
      <rPr>
        <b/>
        <sz val="9"/>
        <color theme="5"/>
        <rFont val="Calibri"/>
        <family val="2"/>
        <scheme val="minor"/>
      </rPr>
      <t>2.8</t>
    </r>
  </si>
  <si>
    <r>
      <t>Pay charge (Capture) (</t>
    </r>
    <r>
      <rPr>
        <b/>
        <sz val="9"/>
        <color theme="5"/>
        <rFont val="Calibri"/>
        <family val="2"/>
        <scheme val="minor"/>
      </rPr>
      <t>2.8</t>
    </r>
    <r>
      <rPr>
        <b/>
        <sz val="9"/>
        <color rgb="FF000000"/>
        <rFont val="Calibri"/>
        <family val="2"/>
        <scheme val="minor"/>
      </rPr>
      <t>)</t>
    </r>
  </si>
  <si>
    <r>
      <t>Create charge with new token (</t>
    </r>
    <r>
      <rPr>
        <b/>
        <sz val="9"/>
        <color theme="4"/>
        <rFont val="Calibri"/>
        <family val="2"/>
        <scheme val="minor"/>
      </rPr>
      <t>2.7</t>
    </r>
    <r>
      <rPr>
        <b/>
        <sz val="9"/>
        <color rgb="FF000000"/>
        <rFont val="Calibri"/>
        <family val="2"/>
        <scheme val="minor"/>
      </rPr>
      <t>)</t>
    </r>
  </si>
  <si>
    <r>
      <t>Pay charge (Capture) (</t>
    </r>
    <r>
      <rPr>
        <b/>
        <sz val="9"/>
        <color theme="9"/>
        <rFont val="Calibri"/>
        <family val="2"/>
        <scheme val="minor"/>
      </rPr>
      <t>2.11</t>
    </r>
    <r>
      <rPr>
        <b/>
        <sz val="9"/>
        <color rgb="FF000000"/>
        <rFont val="Calibri"/>
        <family val="2"/>
        <scheme val="minor"/>
      </rPr>
      <t>)</t>
    </r>
  </si>
  <si>
    <r>
      <t xml:space="preserve">Void </t>
    </r>
    <r>
      <rPr>
        <b/>
        <sz val="9"/>
        <color rgb="FFFF0000"/>
        <rFont val="Calibri"/>
        <family val="2"/>
        <scheme val="minor"/>
      </rPr>
      <t>(API only)</t>
    </r>
  </si>
  <si>
    <t>Charge NON-3DS
(Auto capture)</t>
  </si>
  <si>
    <r>
      <t xml:space="preserve">Void charge </t>
    </r>
    <r>
      <rPr>
        <b/>
        <sz val="9"/>
        <color theme="5"/>
        <rFont val="Calibri"/>
        <family val="2"/>
        <scheme val="minor"/>
      </rPr>
      <t>(1.2)</t>
    </r>
  </si>
  <si>
    <t>Charge 3DS
(Auto capture)</t>
  </si>
  <si>
    <r>
      <t>Void charge</t>
    </r>
    <r>
      <rPr>
        <b/>
        <sz val="9"/>
        <color rgb="FF00B0F0"/>
        <rFont val="Calibri"/>
        <family val="2"/>
        <scheme val="minor"/>
      </rPr>
      <t xml:space="preserve"> </t>
    </r>
    <r>
      <rPr>
        <b/>
        <sz val="9"/>
        <color theme="5"/>
        <rFont val="Calibri"/>
        <family val="2"/>
        <scheme val="minor"/>
      </rPr>
      <t>(1.6)</t>
    </r>
  </si>
  <si>
    <t>Charge NON-3DS
(Manual capture)</t>
  </si>
  <si>
    <r>
      <t xml:space="preserve">Void charge </t>
    </r>
    <r>
      <rPr>
        <b/>
        <sz val="9"/>
        <color theme="5"/>
        <rFont val="Calibri"/>
        <family val="2"/>
        <scheme val="minor"/>
      </rPr>
      <t>(2.2)</t>
    </r>
  </si>
  <si>
    <t>Charge 3DS
(Manual capture)</t>
  </si>
  <si>
    <r>
      <t xml:space="preserve">Void charge </t>
    </r>
    <r>
      <rPr>
        <b/>
        <sz val="9"/>
        <color theme="5"/>
        <rFont val="Calibri"/>
        <family val="2"/>
        <scheme val="minor"/>
      </rPr>
      <t>(2.8)</t>
    </r>
  </si>
  <si>
    <r>
      <t>Refund</t>
    </r>
    <r>
      <rPr>
        <b/>
        <sz val="9"/>
        <color rgb="FFFF0000"/>
        <rFont val="Calibri"/>
        <family val="2"/>
        <scheme val="minor"/>
      </rPr>
      <t xml:space="preserve"> (API only)</t>
    </r>
  </si>
  <si>
    <r>
      <t xml:space="preserve">Refund charge </t>
    </r>
    <r>
      <rPr>
        <b/>
        <sz val="9"/>
        <color rgb="FF7030A0"/>
        <rFont val="Calibri"/>
        <family val="2"/>
        <scheme val="minor"/>
      </rPr>
      <t>(1.4)</t>
    </r>
  </si>
  <si>
    <r>
      <t xml:space="preserve">Refund charge </t>
    </r>
    <r>
      <rPr>
        <b/>
        <sz val="9"/>
        <color rgb="FF7030A0"/>
        <rFont val="Calibri"/>
        <family val="2"/>
        <scheme val="minor"/>
      </rPr>
      <t>(1.8)</t>
    </r>
  </si>
  <si>
    <r>
      <t xml:space="preserve">Refund charge </t>
    </r>
    <r>
      <rPr>
        <b/>
        <sz val="9"/>
        <color rgb="FF7030A0"/>
        <rFont val="Calibri"/>
        <family val="2"/>
        <scheme val="minor"/>
      </rPr>
      <t>(2.6)</t>
    </r>
  </si>
  <si>
    <r>
      <t xml:space="preserve">Refund charge </t>
    </r>
    <r>
      <rPr>
        <b/>
        <sz val="9"/>
        <color rgb="FF7030A0"/>
        <rFont val="Calibri"/>
        <family val="2"/>
        <scheme val="minor"/>
      </rPr>
      <t>(2.12)</t>
    </r>
  </si>
  <si>
    <t>KGP KPN-CardFull-JSON Artifact Logs</t>
  </si>
  <si>
    <t>* JSON Logs</t>
  </si>
  <si>
    <t>Open Popup
(Open the payment form)</t>
  </si>
  <si>
    <t>The payment popup is displayed successfully.</t>
  </si>
  <si>
    <t>&lt;script type="text/javascript" src="https://cdn.omise.co/omise.js"&gt;&lt;/script&gt;
&lt;button id="pay-button"&gt;Pay Now&lt;/button&gt;
&lt;script&gt;
  Omise.setPublicKey("pkey_test_xxxxxxxxx");
  document.getElementById("pay-button").onclick = function () {
    OmiseCard.open({
      frameLabel: "Your Shop Name",
      amount: 10000,
      currency: "THB",
      defaultPaymentMethod: "credit_card",
      otherPaymentMethods: ["promptpay", "internet_banking"],
      onCreateTokenSuccess: function (token) {
        console.log("Token:", token);
        fetch("/charge", {
          method: "POST",
          headers: {
            "Content-Type": "application/json"
          },
          body: JSON.stringify({
            token: token
          })
        });
      },
      onFormClosed: function () {
        console.log("Payment form closed");
      }
    });
  };
&lt;/script&gt;</t>
  </si>
  <si>
    <t>Load Script library OmiseJs
(script tag, form tag, etc.)</t>
  </si>
  <si>
    <t>Omise.js is loaded successfully without errors.</t>
  </si>
  <si>
    <t>Config popup</t>
  </si>
  <si>
    <t>The popup is configured correctly and functions as expected.</t>
  </si>
  <si>
    <t>KGP KPN-QR-API Testing result and Artifact Logs</t>
  </si>
  <si>
    <t>Wallet</t>
  </si>
  <si>
    <t>Bank Account</t>
  </si>
  <si>
    <t>Paynext</t>
  </si>
  <si>
    <t>Paynext Extra</t>
  </si>
  <si>
    <t>LINEPay</t>
  </si>
  <si>
    <t>Card</t>
  </si>
  <si>
    <t>ShopeePay</t>
  </si>
  <si>
    <t>Credit/Debit</t>
  </si>
  <si>
    <t>WeChat</t>
  </si>
  <si>
    <t>Alipay</t>
  </si>
  <si>
    <t>Atome</t>
  </si>
  <si>
    <t>Except: WeChat</t>
  </si>
  <si>
    <t>Except: Alipay</t>
  </si>
  <si>
    <t>Test case - Create source</t>
  </si>
  <si>
    <t>src_test_66tuyfu0fd6adreb006</t>
  </si>
  <si>
    <t>curl --location 'https://api.omise.co/sources' \
   --header 'Content-Type: application/x-www-form-urlencoded' \
   --header 'Authorization: Basic c2tleV90ZXN0XzYxZnd5enAwbW52Z3Z4eWxlYzI6' \
   --data-urlencode 'amount=150000' \
   --data-urlencode 'currency=THB' \
   --data-urlencode 'type=wechat_pay'</t>
  </si>
  <si>
    <r>
      <t>{
    "object": "source",
    "id": "</t>
    </r>
    <r>
      <rPr>
        <sz val="9"/>
        <color rgb="FFFF0000"/>
        <rFont val="Calibri"/>
        <family val="2"/>
        <scheme val="minor"/>
      </rPr>
      <t>src_test_66tuyfu0fd6adreb006</t>
    </r>
    <r>
      <rPr>
        <sz val="9"/>
        <rFont val="Calibri"/>
        <family val="2"/>
        <scheme val="minor"/>
      </rPr>
      <t>",
    "livemode": false,
    "location": "/sources/src_test_66tuyfu0fd6adreb006",
    "amount": 150000,
    "barcode": null,
    "bank": null,
    "created_at": "2026-02-25T08:02:34Z",
    "currency": "THB",
    "email": null,
    "flow": "app_redirect",
    "installment_term": null,
    "ip": "149.88.107.244",
    "absorption_type": null,
    "name": null,
    "mobile_number": null,
    "phone_number": null,
    "platform_type": null,
    "scannable_code": null,
    "qr_settings": null,
    "billing": null,
    "shipping": null,
    "items": [],
    "references": null,
    "provider_references": null,
    "store_id": null,
    "store_name": null,
    "terminal_id": null,
    "type": "wechat_pay",
    "zero_interest_installments": null,
    "charge_status": "unknown",
    "receipt_amount": null,
    "discounts": [],
    "promotion_code": null,
    "supplier_id": null
}</t>
    </r>
  </si>
  <si>
    <t xml:space="preserve">Charge </t>
  </si>
  <si>
    <t>Create source</t>
  </si>
  <si>
    <t>Create charge</t>
  </si>
  <si>
    <r>
      <t>Pay charge (</t>
    </r>
    <r>
      <rPr>
        <b/>
        <sz val="9"/>
        <color theme="4"/>
        <rFont val="Calibri"/>
        <family val="2"/>
      </rPr>
      <t>1.2</t>
    </r>
    <r>
      <rPr>
        <b/>
        <sz val="9"/>
        <color theme="1"/>
        <rFont val="Calibri"/>
        <family val="2"/>
      </rPr>
      <t>)</t>
    </r>
  </si>
  <si>
    <t>Create a source and charge</t>
  </si>
  <si>
    <r>
      <t>Pay charge (</t>
    </r>
    <r>
      <rPr>
        <b/>
        <sz val="9"/>
        <color theme="9"/>
        <rFont val="Calibri"/>
        <family val="2"/>
      </rPr>
      <t>1.4</t>
    </r>
    <r>
      <rPr>
        <b/>
        <sz val="9"/>
        <color theme="1"/>
        <rFont val="Calibri"/>
        <family val="2"/>
      </rPr>
      <t>)</t>
    </r>
  </si>
  <si>
    <r>
      <t>Pay charge (</t>
    </r>
    <r>
      <rPr>
        <b/>
        <sz val="9"/>
        <color theme="4"/>
        <rFont val="Calibri"/>
        <family val="2"/>
      </rPr>
      <t>1.22</t>
    </r>
    <r>
      <rPr>
        <b/>
        <sz val="9"/>
        <color theme="1"/>
        <rFont val="Calibri"/>
        <family val="2"/>
      </rPr>
      <t>)</t>
    </r>
  </si>
  <si>
    <r>
      <t>Pay charge (</t>
    </r>
    <r>
      <rPr>
        <b/>
        <sz val="9"/>
        <color theme="9"/>
        <rFont val="Calibri"/>
        <family val="2"/>
      </rPr>
      <t>1.24</t>
    </r>
    <r>
      <rPr>
        <b/>
        <sz val="9"/>
        <color theme="1"/>
        <rFont val="Calibri"/>
        <family val="2"/>
      </rPr>
      <t>)</t>
    </r>
  </si>
  <si>
    <r>
      <t>Pay charge (</t>
    </r>
    <r>
      <rPr>
        <b/>
        <sz val="9"/>
        <color theme="4"/>
        <rFont val="Calibri"/>
        <family val="2"/>
      </rPr>
      <t>1.32</t>
    </r>
    <r>
      <rPr>
        <b/>
        <sz val="9"/>
        <color theme="1"/>
        <rFont val="Calibri"/>
        <family val="2"/>
      </rPr>
      <t>)</t>
    </r>
  </si>
  <si>
    <r>
      <t>Pay charge (</t>
    </r>
    <r>
      <rPr>
        <b/>
        <sz val="9"/>
        <color theme="9"/>
        <rFont val="Calibri"/>
        <family val="2"/>
      </rPr>
      <t>1.34</t>
    </r>
    <r>
      <rPr>
        <b/>
        <sz val="9"/>
        <color theme="1"/>
        <rFont val="Calibri"/>
        <family val="2"/>
      </rPr>
      <t>)</t>
    </r>
  </si>
  <si>
    <t>SPAY later</t>
  </si>
  <si>
    <t>WeChat (Online)</t>
  </si>
  <si>
    <t>1.51</t>
  </si>
  <si>
    <t>1.52</t>
  </si>
  <si>
    <t>1.53</t>
  </si>
  <si>
    <r>
      <t>Pay charge (</t>
    </r>
    <r>
      <rPr>
        <b/>
        <sz val="9"/>
        <color theme="4"/>
        <rFont val="Calibri"/>
        <family val="2"/>
      </rPr>
      <t>1.52</t>
    </r>
    <r>
      <rPr>
        <b/>
        <sz val="9"/>
        <color theme="1"/>
        <rFont val="Calibri"/>
        <family val="2"/>
      </rPr>
      <t>)</t>
    </r>
  </si>
  <si>
    <t>1.54</t>
  </si>
  <si>
    <t>1.55</t>
  </si>
  <si>
    <r>
      <t>Pay charge (</t>
    </r>
    <r>
      <rPr>
        <b/>
        <sz val="9"/>
        <color theme="9"/>
        <rFont val="Calibri"/>
        <family val="2"/>
      </rPr>
      <t>1.54</t>
    </r>
    <r>
      <rPr>
        <b/>
        <sz val="9"/>
        <color theme="1"/>
        <rFont val="Calibri"/>
        <family val="2"/>
      </rPr>
      <t>)</t>
    </r>
  </si>
  <si>
    <t>Alipay (Online)</t>
  </si>
  <si>
    <r>
      <t xml:space="preserve">Void
</t>
    </r>
    <r>
      <rPr>
        <sz val="9"/>
        <color rgb="FF000000"/>
        <rFont val="Calibri"/>
        <family val="2"/>
        <scheme val="minor"/>
      </rPr>
      <t>* Use the Refund API to perform the transaction in accordance with the test case.</t>
    </r>
  </si>
  <si>
    <t>void charge - before settlement (00.00 D)</t>
  </si>
  <si>
    <t>Success - can void</t>
  </si>
  <si>
    <r>
      <t xml:space="preserve">void charge </t>
    </r>
    <r>
      <rPr>
        <b/>
        <sz val="9"/>
        <color rgb="FFFF0000"/>
        <rFont val="Calibri"/>
        <family val="2"/>
      </rPr>
      <t>failed</t>
    </r>
    <r>
      <rPr>
        <b/>
        <sz val="9"/>
        <color theme="1"/>
        <rFont val="Calibri"/>
        <family val="2"/>
      </rPr>
      <t xml:space="preserve"> - after settlement (00.00 D)</t>
    </r>
  </si>
  <si>
    <t>Failed - can't void</t>
  </si>
  <si>
    <t>void charge - before settlement (23.59 D)</t>
  </si>
  <si>
    <r>
      <t xml:space="preserve">void charge </t>
    </r>
    <r>
      <rPr>
        <b/>
        <sz val="9"/>
        <color rgb="FFFF0000"/>
        <rFont val="Calibri"/>
        <family val="2"/>
      </rPr>
      <t>failed</t>
    </r>
    <r>
      <rPr>
        <b/>
        <sz val="9"/>
        <color theme="1"/>
        <rFont val="Calibri"/>
        <family val="2"/>
      </rPr>
      <t xml:space="preserve"> - after settlement (23.59 D)</t>
    </r>
  </si>
  <si>
    <t>void charge - before settlement (23.00 D)</t>
  </si>
  <si>
    <r>
      <t xml:space="preserve">void charge </t>
    </r>
    <r>
      <rPr>
        <b/>
        <strike/>
        <sz val="9"/>
        <color rgb="FFFF0000"/>
        <rFont val="Calibri"/>
        <family val="2"/>
      </rPr>
      <t>failed</t>
    </r>
    <r>
      <rPr>
        <b/>
        <strike/>
        <sz val="9"/>
        <color theme="1"/>
        <rFont val="Calibri"/>
        <family val="2"/>
      </rPr>
      <t xml:space="preserve"> - after settlement (23.00 D)</t>
    </r>
  </si>
  <si>
    <t>refund charge</t>
  </si>
  <si>
    <t>Full refund</t>
  </si>
  <si>
    <t>Partial refund</t>
  </si>
  <si>
    <t>3.10</t>
  </si>
  <si>
    <t>3.13</t>
  </si>
  <si>
    <t>3.14</t>
  </si>
  <si>
    <t>3.19</t>
  </si>
  <si>
    <t>3.20</t>
  </si>
  <si>
    <t>3.23</t>
  </si>
  <si>
    <t>3.24</t>
  </si>
  <si>
    <t>KGP KPN-Installment-API Testing result and Artifact Logs</t>
  </si>
  <si>
    <t>KBANK</t>
  </si>
  <si>
    <t>KTC</t>
  </si>
  <si>
    <t>TTB</t>
  </si>
  <si>
    <t>UOB</t>
  </si>
  <si>
    <r>
      <t xml:space="preserve">Charge 
</t>
    </r>
    <r>
      <rPr>
        <b/>
        <i/>
        <sz val="9"/>
        <color rgb="FF000000"/>
        <rFont val="Calibri"/>
        <family val="2"/>
        <scheme val="minor"/>
      </rPr>
      <t>Installment KBANK</t>
    </r>
  </si>
  <si>
    <t>Create source installment_wlb_kbank</t>
  </si>
  <si>
    <t>Create charge (1.1)</t>
  </si>
  <si>
    <r>
      <t xml:space="preserve">Create charge with the same token of </t>
    </r>
    <r>
      <rPr>
        <b/>
        <sz val="9"/>
        <color theme="4"/>
        <rFont val="Calibri"/>
        <family val="2"/>
        <scheme val="minor"/>
      </rPr>
      <t>1.3</t>
    </r>
  </si>
  <si>
    <t>Create charge with new token (1.1)</t>
  </si>
  <si>
    <r>
      <t xml:space="preserve">Charge 
</t>
    </r>
    <r>
      <rPr>
        <b/>
        <i/>
        <sz val="9"/>
        <color rgb="FF000000"/>
        <rFont val="Calibri"/>
        <family val="2"/>
        <scheme val="minor"/>
      </rPr>
      <t>Installment BAY</t>
    </r>
  </si>
  <si>
    <t>Create source installment_wlb_bay</t>
  </si>
  <si>
    <t>Create charge (2.1)</t>
  </si>
  <si>
    <r>
      <t>Create charge with the same token of 2</t>
    </r>
    <r>
      <rPr>
        <b/>
        <sz val="9"/>
        <color theme="4"/>
        <rFont val="Calibri"/>
        <family val="2"/>
        <scheme val="minor"/>
      </rPr>
      <t>.3</t>
    </r>
  </si>
  <si>
    <t>Create charge with new token (2.1)</t>
  </si>
  <si>
    <r>
      <t xml:space="preserve">Charge 
</t>
    </r>
    <r>
      <rPr>
        <b/>
        <i/>
        <sz val="9"/>
        <color rgb="FF000000"/>
        <rFont val="Calibri"/>
        <family val="2"/>
        <scheme val="minor"/>
      </rPr>
      <t>Installment KCF</t>
    </r>
  </si>
  <si>
    <t>Create source installment_wlb_first_choice</t>
  </si>
  <si>
    <t>Create charge (3.1)</t>
  </si>
  <si>
    <r>
      <t xml:space="preserve">Create charge with the same token of </t>
    </r>
    <r>
      <rPr>
        <b/>
        <sz val="9"/>
        <color theme="4"/>
        <rFont val="Calibri"/>
        <family val="2"/>
        <scheme val="minor"/>
      </rPr>
      <t>3.3</t>
    </r>
  </si>
  <si>
    <t>Create charge with new token (3.1)</t>
  </si>
  <si>
    <r>
      <t xml:space="preserve">Charge 
</t>
    </r>
    <r>
      <rPr>
        <b/>
        <i/>
        <sz val="9"/>
        <color rgb="FF000000"/>
        <rFont val="Calibri"/>
        <family val="2"/>
        <scheme val="minor"/>
      </rPr>
      <t>Installment KTC</t>
    </r>
  </si>
  <si>
    <t>Create source installment_wlb_ktc</t>
  </si>
  <si>
    <t>Create charge (4.1)</t>
  </si>
  <si>
    <r>
      <t xml:space="preserve">Create charge with the same token of </t>
    </r>
    <r>
      <rPr>
        <b/>
        <sz val="9"/>
        <color theme="4"/>
        <rFont val="Calibri"/>
        <family val="2"/>
        <scheme val="minor"/>
      </rPr>
      <t>4.3</t>
    </r>
  </si>
  <si>
    <t>Create charge with new token (4.1)</t>
  </si>
  <si>
    <r>
      <t xml:space="preserve">Charge 
</t>
    </r>
    <r>
      <rPr>
        <b/>
        <i/>
        <sz val="9"/>
        <color rgb="FF000000"/>
        <rFont val="Calibri"/>
        <family val="2"/>
        <scheme val="minor"/>
      </rPr>
      <t>Installment TTB</t>
    </r>
  </si>
  <si>
    <t>Create source installment_wlb_ttb</t>
  </si>
  <si>
    <t>Create charge (5.1)</t>
  </si>
  <si>
    <r>
      <t xml:space="preserve">Create charge with the same token of </t>
    </r>
    <r>
      <rPr>
        <b/>
        <sz val="9"/>
        <color theme="4"/>
        <rFont val="Calibri"/>
        <family val="2"/>
        <scheme val="minor"/>
      </rPr>
      <t>5.3</t>
    </r>
  </si>
  <si>
    <t>Create charge with new token (5.1)</t>
  </si>
  <si>
    <r>
      <t xml:space="preserve">Charge 
</t>
    </r>
    <r>
      <rPr>
        <b/>
        <i/>
        <sz val="9"/>
        <color rgb="FF000000"/>
        <rFont val="Calibri"/>
        <family val="2"/>
        <scheme val="minor"/>
      </rPr>
      <t>Installment SCB</t>
    </r>
  </si>
  <si>
    <t>Create source installment_wlb_scb</t>
  </si>
  <si>
    <t>Create charge (6.1)</t>
  </si>
  <si>
    <t>Create charge with new token (6.1)</t>
  </si>
  <si>
    <r>
      <t xml:space="preserve">Charge 
</t>
    </r>
    <r>
      <rPr>
        <b/>
        <i/>
        <sz val="9"/>
        <color rgb="FF000000"/>
        <rFont val="Calibri"/>
        <family val="2"/>
        <scheme val="minor"/>
      </rPr>
      <t>Installment UOB</t>
    </r>
  </si>
  <si>
    <r>
      <t xml:space="preserve">Charge
</t>
    </r>
    <r>
      <rPr>
        <i/>
        <sz val="9"/>
        <color rgb="FF000000"/>
        <rFont val="Calibri"/>
        <family val="2"/>
        <scheme val="minor"/>
      </rPr>
      <t>Installment KBANK</t>
    </r>
  </si>
  <si>
    <r>
      <t xml:space="preserve">Void charge </t>
    </r>
    <r>
      <rPr>
        <b/>
        <sz val="9"/>
        <color theme="4"/>
        <rFont val="Calibri"/>
        <family val="2"/>
        <scheme val="minor"/>
      </rPr>
      <t>(1.2)</t>
    </r>
  </si>
  <si>
    <r>
      <t xml:space="preserve">Charge
</t>
    </r>
    <r>
      <rPr>
        <i/>
        <sz val="9"/>
        <color rgb="FF000000"/>
        <rFont val="Calibri"/>
        <family val="2"/>
        <scheme val="minor"/>
      </rPr>
      <t>Installment BAY</t>
    </r>
  </si>
  <si>
    <r>
      <t>Void charge</t>
    </r>
    <r>
      <rPr>
        <b/>
        <sz val="9"/>
        <color rgb="FF00B0F0"/>
        <rFont val="Calibri"/>
        <family val="2"/>
        <scheme val="minor"/>
      </rPr>
      <t xml:space="preserve"> </t>
    </r>
    <r>
      <rPr>
        <b/>
        <sz val="9"/>
        <color theme="4"/>
        <rFont val="Calibri"/>
        <family val="2"/>
        <scheme val="minor"/>
      </rPr>
      <t>(2.2)</t>
    </r>
  </si>
  <si>
    <r>
      <t xml:space="preserve">Charge
</t>
    </r>
    <r>
      <rPr>
        <i/>
        <sz val="9"/>
        <color rgb="FF000000"/>
        <rFont val="Calibri"/>
        <family val="2"/>
        <scheme val="minor"/>
      </rPr>
      <t>Installment KFC</t>
    </r>
  </si>
  <si>
    <r>
      <t xml:space="preserve">Void charge </t>
    </r>
    <r>
      <rPr>
        <b/>
        <sz val="9"/>
        <color theme="4"/>
        <rFont val="Calibri"/>
        <family val="2"/>
        <scheme val="minor"/>
      </rPr>
      <t>(3.2)</t>
    </r>
  </si>
  <si>
    <r>
      <t xml:space="preserve">Charge
</t>
    </r>
    <r>
      <rPr>
        <i/>
        <sz val="9"/>
        <color rgb="FF000000"/>
        <rFont val="Calibri"/>
        <family val="2"/>
        <scheme val="minor"/>
      </rPr>
      <t>Installment KTC</t>
    </r>
  </si>
  <si>
    <r>
      <t xml:space="preserve">Void charge </t>
    </r>
    <r>
      <rPr>
        <b/>
        <sz val="9"/>
        <color theme="4"/>
        <rFont val="Calibri"/>
        <family val="2"/>
        <scheme val="minor"/>
      </rPr>
      <t>(4.2)</t>
    </r>
  </si>
  <si>
    <r>
      <t xml:space="preserve">Charge
</t>
    </r>
    <r>
      <rPr>
        <i/>
        <sz val="9"/>
        <color rgb="FF000000"/>
        <rFont val="Calibri"/>
        <family val="2"/>
        <scheme val="minor"/>
      </rPr>
      <t>Installment TTB</t>
    </r>
  </si>
  <si>
    <r>
      <t xml:space="preserve">Void charge </t>
    </r>
    <r>
      <rPr>
        <b/>
        <sz val="9"/>
        <color theme="4"/>
        <rFont val="Calibri"/>
        <family val="2"/>
        <scheme val="minor"/>
      </rPr>
      <t>(5.2)</t>
    </r>
  </si>
  <si>
    <r>
      <t xml:space="preserve">Charge
</t>
    </r>
    <r>
      <rPr>
        <i/>
        <sz val="9"/>
        <color rgb="FF000000"/>
        <rFont val="Calibri"/>
        <family val="2"/>
        <scheme val="minor"/>
      </rPr>
      <t>Installment SCB</t>
    </r>
  </si>
  <si>
    <r>
      <t xml:space="preserve">Void charge </t>
    </r>
    <r>
      <rPr>
        <b/>
        <sz val="9"/>
        <color theme="4"/>
        <rFont val="Calibri"/>
        <family val="2"/>
        <scheme val="minor"/>
      </rPr>
      <t>(6.2)</t>
    </r>
  </si>
  <si>
    <r>
      <t xml:space="preserve">Charge
</t>
    </r>
    <r>
      <rPr>
        <i/>
        <sz val="9"/>
        <color rgb="FF000000"/>
        <rFont val="Calibri"/>
        <family val="2"/>
        <scheme val="minor"/>
      </rPr>
      <t>Installment UOB</t>
    </r>
  </si>
  <si>
    <r>
      <t xml:space="preserve">Void charge </t>
    </r>
    <r>
      <rPr>
        <b/>
        <sz val="9"/>
        <color theme="4"/>
        <rFont val="Calibri"/>
        <family val="2"/>
        <scheme val="minor"/>
      </rPr>
      <t>(7.2)</t>
    </r>
  </si>
  <si>
    <t>KGP KPN-ODD-API Testing result and Artifact Logs</t>
  </si>
  <si>
    <t>Online Direct Debit</t>
  </si>
  <si>
    <t>Example - Charge</t>
  </si>
  <si>
    <t>Test case - Create linked_accounts</t>
  </si>
  <si>
    <t>lnac_65ap4j6gkrdbt2phzcu</t>
  </si>
  <si>
    <t>curl --location 'https://api.omise.co/linked_accounts' \
--data-urlencode 'type=direct_debit_ktb' \
--data-urlencode 'return_uri=https://example.com/accounts/345678/complete'</t>
  </si>
  <si>
    <r>
      <t>{
    "object": "linked_account",
    "id": "</t>
    </r>
    <r>
      <rPr>
        <sz val="9"/>
        <color rgb="FFFF0000"/>
        <rFont val="Calibri"/>
        <family val="2"/>
        <scheme val="minor"/>
      </rPr>
      <t>lnac_65ap4j6gkrdbt2phzcu</t>
    </r>
    <r>
      <rPr>
        <sz val="9"/>
        <rFont val="Calibri"/>
        <family val="2"/>
        <scheme val="minor"/>
      </rPr>
      <t>",
    "customer_id": null,
    "livemode": true,
    "location": "/linked_accounts/lnac_65ap4j6gkrdbt2phzcu",
    "registration_uri": https://pay.uat-omise.co/registrations/linked_accounts/lnac_65ap4j6gkrdbt2phzcu/authorize,
    "return_uri": https://example.com/accounts/345678/complete,
    "type": "direct_debit_ktb",
    "status": "pending",
    "last_digits": null,
    "metadata": {},
    "failure_code": null,
    "failure_message": null,
    "registered_at": null,
    "expires_at": "2025-10-08T07:17:09Z",
    "created_at": "2025-10-07T07:17:09Z"
}</t>
    </r>
  </si>
  <si>
    <r>
      <t xml:space="preserve">Charge
</t>
    </r>
    <r>
      <rPr>
        <sz val="9"/>
        <color rgb="FF000000"/>
        <rFont val="Calibri"/>
        <family val="2"/>
        <scheme val="minor"/>
      </rPr>
      <t>Master merchant</t>
    </r>
  </si>
  <si>
    <t>Master merchant
ODD KBANK</t>
  </si>
  <si>
    <t>Create linked_accounts</t>
  </si>
  <si>
    <r>
      <t xml:space="preserve">Confirm linked_accounts </t>
    </r>
    <r>
      <rPr>
        <b/>
        <sz val="9"/>
        <color theme="1" tint="0.499984740745262"/>
        <rFont val="Calibri"/>
        <family val="2"/>
        <scheme val="minor"/>
      </rPr>
      <t>(1.1)</t>
    </r>
  </si>
  <si>
    <r>
      <t xml:space="preserve">Pay charge with linked_accounts </t>
    </r>
    <r>
      <rPr>
        <b/>
        <sz val="9"/>
        <color theme="4"/>
        <rFont val="Calibri"/>
        <family val="2"/>
        <scheme val="minor"/>
      </rPr>
      <t>(1.2)</t>
    </r>
    <r>
      <rPr>
        <b/>
        <sz val="9"/>
        <color rgb="FF000000"/>
        <rFont val="Calibri"/>
        <family val="2"/>
        <scheme val="minor"/>
      </rPr>
      <t xml:space="preserve"> and customer </t>
    </r>
    <r>
      <rPr>
        <b/>
        <sz val="9"/>
        <color rgb="FF00B050"/>
        <rFont val="Calibri"/>
        <family val="2"/>
        <scheme val="minor"/>
      </rPr>
      <t>(1.3)</t>
    </r>
  </si>
  <si>
    <t>PAID</t>
  </si>
  <si>
    <t>Master merchant
ODD KTB</t>
  </si>
  <si>
    <t>Master merchant
ODD SCB</t>
  </si>
  <si>
    <r>
      <t xml:space="preserve">Charge
</t>
    </r>
    <r>
      <rPr>
        <sz val="9"/>
        <color rgb="FF000000"/>
        <rFont val="Calibri"/>
        <family val="2"/>
        <scheme val="minor"/>
      </rPr>
      <t>Sub-merchant</t>
    </r>
  </si>
  <si>
    <t>Sub-merchant
ODD KBANK</t>
  </si>
  <si>
    <t>Sub-merchant
ODD KTB</t>
  </si>
  <si>
    <t>Sub-merchant
ODD SCB</t>
  </si>
  <si>
    <t xml:space="preserve">KGP API Testing result </t>
  </si>
  <si>
    <t xml:space="preserve"> (start date) - (done date)</t>
  </si>
  <si>
    <t xml:space="preserve"> (your targeted go live date)</t>
  </si>
  <si>
    <t xml:space="preserve"> DD/MM/YY</t>
  </si>
  <si>
    <t xml:space="preserve"> (Partner's signature)</t>
  </si>
  <si>
    <t xml:space="preserve"> (KGP's signature)</t>
  </si>
  <si>
    <r>
      <rPr>
        <i/>
        <u/>
        <sz val="8"/>
        <color theme="1"/>
        <rFont val="Arial"/>
        <family val="2"/>
      </rPr>
      <t xml:space="preserve">Partner's testing result </t>
    </r>
    <r>
      <rPr>
        <i/>
        <u/>
        <sz val="8"/>
        <color theme="1"/>
        <rFont val="Arial"/>
        <family val="2"/>
      </rPr>
      <t>(required to complete all cases)</t>
    </r>
  </si>
  <si>
    <t>Expected Result</t>
  </si>
  <si>
    <t>LogId/ OrderId</t>
  </si>
  <si>
    <t>Result</t>
  </si>
  <si>
    <r>
      <rPr>
        <b/>
        <sz val="6"/>
        <color rgb="FF000000"/>
        <rFont val="Arial"/>
        <family val="2"/>
      </rPr>
      <t>Remark</t>
    </r>
    <r>
      <rPr>
        <sz val="6"/>
        <color rgb="FF000000"/>
        <rFont val="Arial"/>
        <family val="2"/>
      </rPr>
      <t xml:space="preserve">
(if passed w'con or fail, please identify )</t>
    </r>
  </si>
  <si>
    <t xml:space="preserve"> - DOPA : Passed
 - Sanction : Passed
 - LPM watchlist : Passed
 - Merchant watch list : Passed</t>
  </si>
  <si>
    <r>
      <rPr>
        <sz val="5"/>
        <color rgb="FF000000"/>
        <rFont val="Arial"/>
        <family val="2"/>
      </rPr>
      <t>Get response
 - Merchant status : "</t>
    </r>
    <r>
      <rPr>
        <b/>
        <sz val="5"/>
        <color rgb="FF000000"/>
        <rFont val="Arial"/>
        <family val="2"/>
      </rPr>
      <t>NEED MORE DATA</t>
    </r>
    <r>
      <rPr>
        <sz val="5"/>
        <color rgb="FF000000"/>
        <rFont val="Arial"/>
        <family val="2"/>
      </rPr>
      <t>"
 - Require NID Picture : "</t>
    </r>
    <r>
      <rPr>
        <b/>
        <sz val="5"/>
        <color rgb="FF000000"/>
        <rFont val="Arial"/>
        <family val="2"/>
      </rPr>
      <t>YES</t>
    </r>
    <r>
      <rPr>
        <sz val="5"/>
        <color rgb="FF000000"/>
        <rFont val="Arial"/>
        <family val="2"/>
      </rPr>
      <t>"
 - Response : "</t>
    </r>
    <r>
      <rPr>
        <b/>
        <sz val="5"/>
        <color rgb="FF000000"/>
        <rFont val="Arial"/>
        <family val="2"/>
      </rPr>
      <t>SUCCEEDED</t>
    </r>
    <r>
      <rPr>
        <sz val="5"/>
        <color rgb="FF000000"/>
        <rFont val="Arial"/>
        <family val="2"/>
      </rPr>
      <t>"</t>
    </r>
  </si>
  <si>
    <t>FAILED</t>
  </si>
  <si>
    <t>Upload Document Merchant</t>
  </si>
  <si>
    <r>
      <rPr>
        <sz val="5"/>
        <color theme="1"/>
        <rFont val="Arial"/>
        <family val="2"/>
      </rPr>
      <t>Get response
 - Require NID Picture = "</t>
    </r>
    <r>
      <rPr>
        <b/>
        <sz val="5"/>
        <color theme="1"/>
        <rFont val="Arial"/>
        <family val="2"/>
      </rPr>
      <t>Yes</t>
    </r>
    <r>
      <rPr>
        <sz val="5"/>
        <color theme="1"/>
        <rFont val="Arial"/>
        <family val="2"/>
      </rPr>
      <t>"
 - Response : "</t>
    </r>
    <r>
      <rPr>
        <b/>
        <sz val="5"/>
        <color theme="1"/>
        <rFont val="Arial"/>
        <family val="2"/>
      </rPr>
      <t>SUCCEEDED</t>
    </r>
    <r>
      <rPr>
        <sz val="5"/>
        <color theme="1"/>
        <rFont val="Arial"/>
        <family val="2"/>
      </rPr>
      <t>"</t>
    </r>
  </si>
  <si>
    <t>Address Bank Account ,etc</t>
  </si>
  <si>
    <r>
      <rPr>
        <sz val="5"/>
        <color theme="1"/>
        <rFont val="Arial"/>
        <family val="2"/>
      </rPr>
      <t>Get response
 - Change Merchant status to :"</t>
    </r>
    <r>
      <rPr>
        <b/>
        <sz val="5"/>
        <color theme="1"/>
        <rFont val="Arial"/>
        <family val="2"/>
      </rPr>
      <t>PENDING_OTP</t>
    </r>
    <r>
      <rPr>
        <sz val="5"/>
        <color theme="1"/>
        <rFont val="Arial"/>
        <family val="2"/>
      </rPr>
      <t>" 
 - Response : "</t>
    </r>
    <r>
      <rPr>
        <b/>
        <sz val="5"/>
        <color theme="1"/>
        <rFont val="Arial"/>
        <family val="2"/>
      </rPr>
      <t>SUCCEEDED</t>
    </r>
    <r>
      <rPr>
        <sz val="5"/>
        <color theme="1"/>
        <rFont val="Arial"/>
        <family val="2"/>
      </rPr>
      <t>"</t>
    </r>
  </si>
  <si>
    <t>Get OTP</t>
  </si>
  <si>
    <r>
      <rPr>
        <sz val="5"/>
        <color theme="1"/>
        <rFont val="Arial"/>
        <family val="2"/>
      </rPr>
      <t>Get response
 - Send OTP to Partner
 - Send Ref.code to Partner
 - Response : "</t>
    </r>
    <r>
      <rPr>
        <b/>
        <sz val="5"/>
        <color theme="1"/>
        <rFont val="Arial"/>
        <family val="2"/>
      </rPr>
      <t>SUCCEEDED</t>
    </r>
    <r>
      <rPr>
        <sz val="5"/>
        <color theme="1"/>
        <rFont val="Arial"/>
        <family val="2"/>
      </rPr>
      <t>"</t>
    </r>
  </si>
  <si>
    <t>Verify OTP</t>
  </si>
  <si>
    <r>
      <rPr>
        <sz val="5"/>
        <color theme="1"/>
        <rFont val="Arial"/>
        <family val="2"/>
      </rPr>
      <t>Get response
 - Change Merchant status to : "</t>
    </r>
    <r>
      <rPr>
        <b/>
        <sz val="5"/>
        <color theme="1"/>
        <rFont val="Arial"/>
        <family val="2"/>
      </rPr>
      <t>ACTIVE</t>
    </r>
    <r>
      <rPr>
        <sz val="5"/>
        <color theme="1"/>
        <rFont val="Arial"/>
        <family val="2"/>
      </rPr>
      <t>"
 - Update mobile number to merchant
 - Response : "</t>
    </r>
    <r>
      <rPr>
        <b/>
        <sz val="5"/>
        <color theme="1"/>
        <rFont val="Arial"/>
        <family val="2"/>
      </rPr>
      <t>SUCCEEDED</t>
    </r>
    <r>
      <rPr>
        <sz val="5"/>
        <color theme="1"/>
        <rFont val="Arial"/>
        <family val="2"/>
      </rPr>
      <t>"</t>
    </r>
  </si>
  <si>
    <r>
      <rPr>
        <sz val="5"/>
        <color rgb="FF000000"/>
        <rFont val="Arial"/>
        <family val="2"/>
      </rPr>
      <t>Can inquiry data
- Inquiry Log = "</t>
    </r>
    <r>
      <rPr>
        <b/>
        <sz val="5"/>
        <color rgb="FF000000"/>
        <rFont val="Arial"/>
        <family val="2"/>
      </rPr>
      <t>Yes</t>
    </r>
    <r>
      <rPr>
        <sz val="5"/>
        <color rgb="FF000000"/>
        <rFont val="Arial"/>
        <family val="2"/>
      </rPr>
      <t>"</t>
    </r>
  </si>
  <si>
    <r>
      <rPr>
        <sz val="5"/>
        <color rgb="FF000000"/>
        <rFont val="Arial"/>
        <family val="2"/>
      </rPr>
      <t>Get response
 - Shop status : "</t>
    </r>
    <r>
      <rPr>
        <b/>
        <sz val="5"/>
        <color rgb="FF000000"/>
        <rFont val="Arial"/>
        <family val="2"/>
      </rPr>
      <t>ACTIVE</t>
    </r>
    <r>
      <rPr>
        <sz val="5"/>
        <color rgb="FF000000"/>
        <rFont val="Arial"/>
        <family val="2"/>
      </rPr>
      <t>"
 - KYM_STATUS : "</t>
    </r>
    <r>
      <rPr>
        <b/>
        <sz val="5"/>
        <color rgb="FF000000"/>
        <rFont val="Arial"/>
        <family val="2"/>
      </rPr>
      <t>NOT_STARTED</t>
    </r>
    <r>
      <rPr>
        <sz val="5"/>
        <color rgb="FF000000"/>
        <rFont val="Arial"/>
        <family val="2"/>
      </rPr>
      <t>:
 - NEED_KYM_INFO : "</t>
    </r>
    <r>
      <rPr>
        <b/>
        <sz val="5"/>
        <color rgb="FF000000"/>
        <rFont val="Arial"/>
        <family val="2"/>
      </rPr>
      <t>Y</t>
    </r>
    <r>
      <rPr>
        <sz val="5"/>
        <color rgb="FF000000"/>
        <rFont val="Arial"/>
        <family val="2"/>
      </rPr>
      <t>"
 - CHARGE capibility : "</t>
    </r>
    <r>
      <rPr>
        <b/>
        <sz val="5"/>
        <color rgb="FF000000"/>
        <rFont val="Arial"/>
        <family val="2"/>
      </rPr>
      <t>INACTIVE</t>
    </r>
    <r>
      <rPr>
        <sz val="5"/>
        <color rgb="FF000000"/>
        <rFont val="Arial"/>
        <family val="2"/>
      </rPr>
      <t>"
 - Payout capability :  "</t>
    </r>
    <r>
      <rPr>
        <b/>
        <sz val="5"/>
        <color rgb="FF000000"/>
        <rFont val="Arial"/>
        <family val="2"/>
      </rPr>
      <t>INACTIVE</t>
    </r>
    <r>
      <rPr>
        <sz val="5"/>
        <color rgb="FF000000"/>
        <rFont val="Arial"/>
        <family val="2"/>
      </rPr>
      <t>"
 - Response : "</t>
    </r>
    <r>
      <rPr>
        <b/>
        <sz val="5"/>
        <color rgb="FF000000"/>
        <rFont val="Arial"/>
        <family val="2"/>
      </rPr>
      <t>SUCCEEDED</t>
    </r>
    <r>
      <rPr>
        <sz val="5"/>
        <color rgb="FF000000"/>
        <rFont val="Arial"/>
        <family val="2"/>
      </rPr>
      <t>"</t>
    </r>
  </si>
  <si>
    <t>Upload Document Shop (KYM)</t>
  </si>
  <si>
    <t xml:space="preserve">Upload document </t>
  </si>
  <si>
    <r>
      <rPr>
        <sz val="5"/>
        <color rgb="FF000000"/>
        <rFont val="Arial"/>
        <family val="2"/>
      </rPr>
      <t>Get response
 - Shop status : "</t>
    </r>
    <r>
      <rPr>
        <b/>
        <sz val="5"/>
        <color rgb="FF000000"/>
        <rFont val="Arial"/>
        <family val="2"/>
      </rPr>
      <t>ACTIVE</t>
    </r>
    <r>
      <rPr>
        <sz val="5"/>
        <color rgb="FF000000"/>
        <rFont val="Arial"/>
        <family val="2"/>
      </rPr>
      <t>"
 - Update NEED_KYM_INFO : "</t>
    </r>
    <r>
      <rPr>
        <b/>
        <sz val="5"/>
        <color rgb="FF000000"/>
        <rFont val="Arial"/>
        <family val="2"/>
      </rPr>
      <t>N</t>
    </r>
    <r>
      <rPr>
        <sz val="5"/>
        <color rgb="FF000000"/>
        <rFont val="Arial"/>
        <family val="2"/>
      </rPr>
      <t>"
 - Response : "</t>
    </r>
    <r>
      <rPr>
        <b/>
        <sz val="5"/>
        <color rgb="FF000000"/>
        <rFont val="Arial"/>
        <family val="2"/>
      </rPr>
      <t>SUCCEEDED</t>
    </r>
    <r>
      <rPr>
        <sz val="5"/>
        <color rgb="FF000000"/>
        <rFont val="Arial"/>
        <family val="2"/>
      </rPr>
      <t>"</t>
    </r>
  </si>
  <si>
    <t>Upload link</t>
  </si>
  <si>
    <r>
      <rPr>
        <sz val="6"/>
        <color theme="1"/>
        <rFont val="Arial"/>
        <family val="2"/>
      </rPr>
      <t xml:space="preserve">Update info &amp; input a receiving account = </t>
    </r>
    <r>
      <rPr>
        <b/>
        <sz val="6"/>
        <color theme="1"/>
        <rFont val="Arial"/>
        <family val="2"/>
      </rPr>
      <t>K+</t>
    </r>
  </si>
  <si>
    <r>
      <rPr>
        <sz val="5"/>
        <color rgb="FF000000"/>
        <rFont val="Arial"/>
        <family val="2"/>
      </rPr>
      <t>Get response
 - Shop status : "</t>
    </r>
    <r>
      <rPr>
        <b/>
        <sz val="5"/>
        <color rgb="FF000000"/>
        <rFont val="Arial"/>
        <family val="2"/>
      </rPr>
      <t>ACTIVE</t>
    </r>
    <r>
      <rPr>
        <sz val="5"/>
        <color rgb="FF000000"/>
        <rFont val="Arial"/>
        <family val="2"/>
      </rPr>
      <t>"
 - Update CHARGE capibility : "</t>
    </r>
    <r>
      <rPr>
        <b/>
        <sz val="5"/>
        <color rgb="FF000000"/>
        <rFont val="Arial"/>
        <family val="2"/>
      </rPr>
      <t>ACTIVE</t>
    </r>
    <r>
      <rPr>
        <sz val="5"/>
        <color rgb="FF000000"/>
        <rFont val="Arial"/>
        <family val="2"/>
      </rPr>
      <t>"
 - Update  Payout capability :  "</t>
    </r>
    <r>
      <rPr>
        <b/>
        <sz val="5"/>
        <color rgb="FF000000"/>
        <rFont val="Arial"/>
        <family val="2"/>
      </rPr>
      <t>ACTIVE</t>
    </r>
    <r>
      <rPr>
        <sz val="5"/>
        <color rgb="FF000000"/>
        <rFont val="Arial"/>
        <family val="2"/>
      </rPr>
      <t>"
 - Response : "</t>
    </r>
    <r>
      <rPr>
        <b/>
        <sz val="5"/>
        <color rgb="FF000000"/>
        <rFont val="Arial"/>
        <family val="2"/>
      </rPr>
      <t>SUCCEEDED</t>
    </r>
    <r>
      <rPr>
        <sz val="5"/>
        <color rgb="FF000000"/>
        <rFont val="Arial"/>
        <family val="2"/>
      </rPr>
      <t>"</t>
    </r>
  </si>
  <si>
    <r>
      <rPr>
        <sz val="6"/>
        <color rgb="FFFF0000"/>
        <rFont val="Arial"/>
        <family val="2"/>
      </rPr>
      <t xml:space="preserve">Update info &amp; input a receiving account = </t>
    </r>
    <r>
      <rPr>
        <b/>
        <sz val="6"/>
        <color rgb="FFFF0000"/>
        <rFont val="Arial"/>
        <family val="2"/>
      </rPr>
      <t>Non K+</t>
    </r>
  </si>
  <si>
    <r>
      <rPr>
        <sz val="5"/>
        <color rgb="FFFF0000"/>
        <rFont val="Arial"/>
        <family val="2"/>
      </rPr>
      <t>Get response
 - Errror : "</t>
    </r>
    <r>
      <rPr>
        <b/>
        <sz val="5"/>
        <color rgb="FFFF0000"/>
        <rFont val="Arial"/>
        <family val="2"/>
      </rPr>
      <t>Partner status is not active"</t>
    </r>
    <r>
      <rPr>
        <sz val="5"/>
        <color rgb="FFFF0000"/>
        <rFont val="Arial"/>
        <family val="2"/>
      </rPr>
      <t xml:space="preserve">
  - Response : "</t>
    </r>
    <r>
      <rPr>
        <b/>
        <sz val="5"/>
        <color rgb="FFFF0000"/>
        <rFont val="Arial"/>
        <family val="2"/>
      </rPr>
      <t>FAILED</t>
    </r>
    <r>
      <rPr>
        <sz val="5"/>
        <color rgb="FFFF0000"/>
        <rFont val="Arial"/>
        <family val="2"/>
      </rPr>
      <t>" (not allowed)</t>
    </r>
  </si>
  <si>
    <r>
      <rPr>
        <sz val="6"/>
        <color rgb="FFFF0000"/>
        <rFont val="Arial"/>
        <family val="2"/>
      </rPr>
      <t xml:space="preserve">Update info &amp; input a receiving account = </t>
    </r>
    <r>
      <rPr>
        <b/>
        <sz val="6"/>
        <color rgb="FFFF0000"/>
        <rFont val="Arial"/>
        <family val="2"/>
      </rPr>
      <t>GSB</t>
    </r>
  </si>
  <si>
    <t xml:space="preserve">(After onboard)
Update Merchant Info 
</t>
  </si>
  <si>
    <t>Address, OTP, Bank Account</t>
  </si>
  <si>
    <t>refer 1.3</t>
  </si>
  <si>
    <t xml:space="preserve">(After onboard)
Update Shop Info </t>
  </si>
  <si>
    <t>refer 1.7</t>
  </si>
  <si>
    <t>Create Payment</t>
  </si>
  <si>
    <r>
      <rPr>
        <sz val="6"/>
        <color theme="1"/>
        <rFont val="Arial"/>
        <family val="2"/>
      </rPr>
      <t xml:space="preserve">Generate deeplink with 
</t>
    </r>
    <r>
      <rPr>
        <u/>
        <sz val="6"/>
        <color theme="1"/>
        <rFont val="Arial"/>
        <family val="2"/>
      </rPr>
      <t xml:space="preserve">new </t>
    </r>
    <r>
      <rPr>
        <sz val="6"/>
        <color theme="1"/>
        <rFont val="Arial"/>
        <family val="2"/>
      </rPr>
      <t>partnerPaymentID</t>
    </r>
  </si>
  <si>
    <r>
      <rPr>
        <sz val="5"/>
        <color rgb="FF000000"/>
        <rFont val="Arial"/>
        <family val="2"/>
      </rPr>
      <t xml:space="preserve"> - Can genetrate deeplink 
 - transaction status = "</t>
    </r>
    <r>
      <rPr>
        <b/>
        <sz val="5"/>
        <color rgb="FF000000"/>
        <rFont val="Arial"/>
        <family val="2"/>
      </rPr>
      <t>XXXX</t>
    </r>
    <r>
      <rPr>
        <sz val="5"/>
        <color rgb="FF000000"/>
        <rFont val="Arial"/>
        <family val="2"/>
      </rPr>
      <t>"</t>
    </r>
  </si>
  <si>
    <r>
      <rPr>
        <sz val="6"/>
        <color theme="1"/>
        <rFont val="Arial"/>
        <family val="2"/>
      </rPr>
      <t xml:space="preserve">Generate deeplink with 
</t>
    </r>
    <r>
      <rPr>
        <u/>
        <sz val="6"/>
        <color theme="1"/>
        <rFont val="Arial"/>
        <family val="2"/>
      </rPr>
      <t>duplicate</t>
    </r>
    <r>
      <rPr>
        <sz val="6"/>
        <color theme="1"/>
        <rFont val="Arial"/>
        <family val="2"/>
      </rPr>
      <t xml:space="preserve"> partnerPaymentID</t>
    </r>
  </si>
  <si>
    <r>
      <rPr>
        <sz val="5"/>
        <color rgb="FF000000"/>
        <rFont val="Arial"/>
        <family val="2"/>
      </rPr>
      <t xml:space="preserve"> - </t>
    </r>
    <r>
      <rPr>
        <u/>
        <sz val="5"/>
        <color rgb="FF000000"/>
        <rFont val="Arial"/>
        <family val="2"/>
      </rPr>
      <t xml:space="preserve">Can't </t>
    </r>
    <r>
      <rPr>
        <sz val="5"/>
        <color rgb="FF000000"/>
        <rFont val="Arial"/>
        <family val="2"/>
      </rPr>
      <t xml:space="preserve">genetrate deeplink  and get error
 </t>
    </r>
  </si>
  <si>
    <r>
      <rPr>
        <sz val="6"/>
        <color theme="1"/>
        <rFont val="Arial"/>
        <family val="2"/>
      </rPr>
      <t xml:space="preserve">Generate deeplink with </t>
    </r>
    <r>
      <rPr>
        <u/>
        <sz val="6"/>
        <color theme="1"/>
        <rFont val="Arial"/>
        <family val="2"/>
      </rPr>
      <t>interger amount</t>
    </r>
    <r>
      <rPr>
        <sz val="6"/>
        <color theme="1"/>
        <rFont val="Arial"/>
        <family val="2"/>
      </rPr>
      <t xml:space="preserve"> (100THB)</t>
    </r>
  </si>
  <si>
    <r>
      <rPr>
        <sz val="6"/>
        <color theme="1"/>
        <rFont val="Arial"/>
        <family val="2"/>
      </rPr>
      <t xml:space="preserve">Generate deeplink with </t>
    </r>
    <r>
      <rPr>
        <u/>
        <sz val="6"/>
        <color theme="1"/>
        <rFont val="Arial"/>
        <family val="2"/>
      </rPr>
      <t>decimal amount</t>
    </r>
    <r>
      <rPr>
        <sz val="6"/>
        <color theme="1"/>
        <rFont val="Arial"/>
        <family val="2"/>
      </rPr>
      <t xml:space="preserve"> (500.55THB)</t>
    </r>
  </si>
  <si>
    <t>Generate deeplink with over limit (600,001 THB)</t>
  </si>
  <si>
    <r>
      <rPr>
        <sz val="5"/>
        <color rgb="FF000000"/>
        <rFont val="Arial"/>
        <family val="2"/>
      </rPr>
      <t xml:space="preserve"> - </t>
    </r>
    <r>
      <rPr>
        <u/>
        <sz val="5"/>
        <color rgb="FF000000"/>
        <rFont val="Arial"/>
        <family val="2"/>
      </rPr>
      <t>Can't</t>
    </r>
    <r>
      <rPr>
        <sz val="5"/>
        <color rgb="FF000000"/>
        <rFont val="Arial"/>
        <family val="2"/>
      </rPr>
      <t xml:space="preserve"> genetrate deeplink  
 - transaction status : "</t>
    </r>
    <r>
      <rPr>
        <b/>
        <sz val="5"/>
        <color rgb="FF000000"/>
        <rFont val="Arial"/>
        <family val="2"/>
      </rPr>
      <t>FAILED</t>
    </r>
    <r>
      <rPr>
        <sz val="5"/>
        <color rgb="FF000000"/>
        <rFont val="Arial"/>
        <family val="2"/>
      </rPr>
      <t>" 
 - Reason : "</t>
    </r>
    <r>
      <rPr>
        <b/>
        <sz val="5"/>
        <color rgb="FF000000"/>
        <rFont val="Arial"/>
        <family val="2"/>
      </rPr>
      <t>EXCEED LIMIT</t>
    </r>
    <r>
      <rPr>
        <sz val="5"/>
        <color rgb="FF000000"/>
        <rFont val="Arial"/>
        <family val="2"/>
      </rPr>
      <t>"</t>
    </r>
  </si>
  <si>
    <t>Repeat with step 2.1</t>
  </si>
  <si>
    <t>App switch - KMA(BAY)</t>
  </si>
  <si>
    <t>Credit card</t>
  </si>
  <si>
    <t>True Money wallet</t>
  </si>
  <si>
    <t>Process Payment</t>
  </si>
  <si>
    <t>Made payment with K+</t>
  </si>
  <si>
    <t xml:space="preserve">  - Can make payment 
  - Get payment notification
  - Get callback</t>
  </si>
  <si>
    <t>Made payment with SCB</t>
  </si>
  <si>
    <t>Repeat with step of 2.8</t>
  </si>
  <si>
    <t>Made payment with KTB</t>
  </si>
  <si>
    <t>Made payment with KMA</t>
  </si>
  <si>
    <t>Made payment with Credit card</t>
  </si>
  <si>
    <t>Made payment with QR BOT</t>
  </si>
  <si>
    <t>Made payment with True Money</t>
  </si>
  <si>
    <r>
      <rPr>
        <sz val="6"/>
        <color theme="1"/>
        <rFont val="Arial"/>
        <family val="2"/>
      </rPr>
      <t xml:space="preserve">Iinquiry after generated deeplink and </t>
    </r>
    <r>
      <rPr>
        <u/>
        <sz val="6"/>
        <color theme="1"/>
        <rFont val="Arial"/>
        <family val="2"/>
      </rPr>
      <t>already made payment</t>
    </r>
  </si>
  <si>
    <r>
      <rPr>
        <sz val="6"/>
        <color theme="1"/>
        <rFont val="Arial"/>
        <family val="2"/>
      </rPr>
      <t xml:space="preserve">Iinquiry after generated deeplink but not </t>
    </r>
    <r>
      <rPr>
        <u/>
        <sz val="6"/>
        <color theme="1"/>
        <rFont val="Arial"/>
        <family val="2"/>
      </rPr>
      <t>yet made payment</t>
    </r>
  </si>
  <si>
    <r>
      <rPr>
        <sz val="6"/>
        <color theme="1"/>
        <rFont val="Arial"/>
        <family val="2"/>
      </rPr>
      <t xml:space="preserve">Iinquiry after generated deeplink but </t>
    </r>
    <r>
      <rPr>
        <u/>
        <sz val="6"/>
        <color theme="1"/>
        <rFont val="Arial"/>
        <family val="2"/>
      </rPr>
      <t>already cancelled payment</t>
    </r>
  </si>
  <si>
    <r>
      <rPr>
        <b/>
        <u/>
        <sz val="6"/>
        <color theme="1"/>
        <rFont val="Arial"/>
        <family val="2"/>
      </rPr>
      <t xml:space="preserve">Void Transaction
</t>
    </r>
    <r>
      <rPr>
        <u/>
        <sz val="6"/>
        <color rgb="FFFF0000"/>
        <rFont val="Arial"/>
        <family val="2"/>
      </rPr>
      <t>(for only BOT QR)</t>
    </r>
  </si>
  <si>
    <r>
      <rPr>
        <b/>
        <sz val="6"/>
        <color theme="1"/>
        <rFont val="Arial"/>
        <family val="2"/>
      </rPr>
      <t xml:space="preserve">Void payment </t>
    </r>
    <r>
      <rPr>
        <sz val="6"/>
        <color theme="1"/>
        <rFont val="Arial"/>
        <family val="2"/>
      </rPr>
      <t xml:space="preserve">which paid by </t>
    </r>
    <r>
      <rPr>
        <b/>
        <sz val="6"/>
        <color theme="1"/>
        <rFont val="Arial"/>
        <family val="2"/>
      </rPr>
      <t xml:space="preserve">K+ 
</t>
    </r>
    <r>
      <rPr>
        <u/>
        <sz val="6"/>
        <color theme="1"/>
        <rFont val="Arial"/>
        <family val="2"/>
      </rPr>
      <t>before</t>
    </r>
    <r>
      <rPr>
        <sz val="6"/>
        <color theme="1"/>
        <rFont val="Arial"/>
        <family val="2"/>
      </rPr>
      <t xml:space="preserve"> settlement 23.00</t>
    </r>
  </si>
  <si>
    <r>
      <rPr>
        <sz val="5"/>
        <color rgb="FF000000"/>
        <rFont val="Arial"/>
        <family val="2"/>
      </rPr>
      <t>Can void 
 - transaction status : "</t>
    </r>
    <r>
      <rPr>
        <b/>
        <sz val="5"/>
        <color rgb="FF000000"/>
        <rFont val="Arial"/>
        <family val="2"/>
      </rPr>
      <t>VOID</t>
    </r>
    <r>
      <rPr>
        <sz val="5"/>
        <color rgb="FF000000"/>
        <rFont val="Arial"/>
        <family val="2"/>
      </rPr>
      <t>"</t>
    </r>
  </si>
  <si>
    <r>
      <rPr>
        <b/>
        <sz val="6"/>
        <color theme="1"/>
        <rFont val="Arial"/>
        <family val="2"/>
      </rPr>
      <t xml:space="preserve">Void payment </t>
    </r>
    <r>
      <rPr>
        <sz val="6"/>
        <color theme="1"/>
        <rFont val="Arial"/>
        <family val="2"/>
      </rPr>
      <t xml:space="preserve">which paid by </t>
    </r>
    <r>
      <rPr>
        <b/>
        <sz val="6"/>
        <color theme="1"/>
        <rFont val="Arial"/>
        <family val="2"/>
      </rPr>
      <t xml:space="preserve">Non K+ </t>
    </r>
    <r>
      <rPr>
        <u/>
        <sz val="6"/>
        <color theme="1"/>
        <rFont val="Arial"/>
        <family val="2"/>
      </rPr>
      <t>before</t>
    </r>
    <r>
      <rPr>
        <sz val="6"/>
        <color theme="1"/>
        <rFont val="Arial"/>
        <family val="2"/>
      </rPr>
      <t xml:space="preserve"> settlement 23.00</t>
    </r>
  </si>
  <si>
    <r>
      <rPr>
        <u/>
        <sz val="5"/>
        <color rgb="FF000000"/>
        <rFont val="Arial"/>
        <family val="2"/>
      </rPr>
      <t xml:space="preserve">Can't </t>
    </r>
    <r>
      <rPr>
        <sz val="5"/>
        <color rgb="FF000000"/>
        <rFont val="Arial"/>
        <family val="2"/>
      </rPr>
      <t xml:space="preserve"> void 
 - transaction status : "</t>
    </r>
    <r>
      <rPr>
        <b/>
        <sz val="5"/>
        <color rgb="FF000000"/>
        <rFont val="Arial"/>
        <family val="2"/>
      </rPr>
      <t>FAILED</t>
    </r>
    <r>
      <rPr>
        <sz val="5"/>
        <color rgb="FF000000"/>
        <rFont val="Arial"/>
        <family val="2"/>
      </rPr>
      <t>"
 - Reason : "</t>
    </r>
    <r>
      <rPr>
        <b/>
        <sz val="5"/>
        <color rgb="FF000000"/>
        <rFont val="Arial"/>
        <family val="2"/>
      </rPr>
      <t>CAN'T PROCEED</t>
    </r>
    <r>
      <rPr>
        <sz val="5"/>
        <color rgb="FF000000"/>
        <rFont val="Arial"/>
        <family val="2"/>
      </rPr>
      <t>"</t>
    </r>
  </si>
  <si>
    <r>
      <rPr>
        <b/>
        <sz val="6"/>
        <color theme="1"/>
        <rFont val="Arial"/>
        <family val="2"/>
      </rPr>
      <t xml:space="preserve">Void payment </t>
    </r>
    <r>
      <rPr>
        <sz val="6"/>
        <color theme="1"/>
        <rFont val="Arial"/>
        <family val="2"/>
      </rPr>
      <t xml:space="preserve">which paid by </t>
    </r>
    <r>
      <rPr>
        <b/>
        <sz val="6"/>
        <color theme="1"/>
        <rFont val="Arial"/>
        <family val="2"/>
      </rPr>
      <t xml:space="preserve"> K+ 
</t>
    </r>
    <r>
      <rPr>
        <u/>
        <sz val="6"/>
        <color theme="1"/>
        <rFont val="Arial"/>
        <family val="2"/>
      </rPr>
      <t>after</t>
    </r>
    <r>
      <rPr>
        <sz val="6"/>
        <color theme="1"/>
        <rFont val="Arial"/>
        <family val="2"/>
      </rPr>
      <t xml:space="preserve"> settlement 23.00</t>
    </r>
  </si>
  <si>
    <r>
      <rPr>
        <b/>
        <sz val="6"/>
        <color theme="1"/>
        <rFont val="Arial"/>
        <family val="2"/>
      </rPr>
      <t xml:space="preserve">Void inquiry </t>
    </r>
    <r>
      <rPr>
        <sz val="6"/>
        <color theme="1"/>
        <rFont val="Arial"/>
        <family val="2"/>
      </rPr>
      <t>K+payment</t>
    </r>
  </si>
  <si>
    <r>
      <rPr>
        <b/>
        <sz val="6"/>
        <color theme="1"/>
        <rFont val="Arial"/>
        <family val="2"/>
      </rPr>
      <t>Refund payment</t>
    </r>
    <r>
      <rPr>
        <sz val="6"/>
        <color theme="1"/>
        <rFont val="Arial"/>
        <family val="2"/>
      </rPr>
      <t xml:space="preserve"> K+ payment</t>
    </r>
  </si>
  <si>
    <r>
      <rPr>
        <b/>
        <sz val="6"/>
        <color theme="1"/>
        <rFont val="Arial"/>
        <family val="2"/>
      </rPr>
      <t>Refund inquiry</t>
    </r>
    <r>
      <rPr>
        <sz val="6"/>
        <color theme="1"/>
        <rFont val="Arial"/>
        <family val="2"/>
      </rPr>
      <t xml:space="preserve"> K+payment</t>
    </r>
  </si>
  <si>
    <r>
      <rPr>
        <b/>
        <sz val="6"/>
        <color theme="1"/>
        <rFont val="Arial"/>
        <family val="2"/>
      </rPr>
      <t>Cancel payment with K+</t>
    </r>
    <r>
      <rPr>
        <sz val="6"/>
        <color theme="1"/>
        <rFont val="Arial"/>
        <family val="2"/>
      </rPr>
      <t xml:space="preserve"> (from2.1) </t>
    </r>
  </si>
  <si>
    <t>Cancel Transaction</t>
  </si>
  <si>
    <r>
      <rPr>
        <b/>
        <sz val="6"/>
        <color theme="1"/>
        <rFont val="Arial"/>
        <family val="2"/>
      </rPr>
      <t>Cancel payment with  Non-K+</t>
    </r>
    <r>
      <rPr>
        <sz val="6"/>
        <color theme="1"/>
        <rFont val="Arial"/>
        <family val="2"/>
      </rPr>
      <t xml:space="preserve"> (from2.2)</t>
    </r>
  </si>
  <si>
    <r>
      <rPr>
        <sz val="6"/>
        <color theme="1"/>
        <rFont val="Arial"/>
        <family val="2"/>
      </rPr>
      <t xml:space="preserve">Full Payout 
</t>
    </r>
    <r>
      <rPr>
        <sz val="6"/>
        <color rgb="FFA5A5A5"/>
        <rFont val="Arial"/>
        <family val="2"/>
      </rPr>
      <t>(100%Shop , 0%Partner )</t>
    </r>
  </si>
  <si>
    <t>Can generate payout request</t>
  </si>
  <si>
    <r>
      <rPr>
        <sz val="6"/>
        <color theme="1"/>
        <rFont val="Arial"/>
        <family val="2"/>
      </rPr>
      <t xml:space="preserve">Full Payout 
</t>
    </r>
    <r>
      <rPr>
        <sz val="6"/>
        <color rgb="FFA5A5A5"/>
        <rFont val="Arial"/>
        <family val="2"/>
      </rPr>
      <t>(0%Shop, 100%Partner)</t>
    </r>
  </si>
  <si>
    <r>
      <rPr>
        <sz val="6"/>
        <color theme="1"/>
        <rFont val="Arial"/>
        <family val="2"/>
      </rPr>
      <t xml:space="preserve">Split Payout
 </t>
    </r>
    <r>
      <rPr>
        <sz val="6"/>
        <color rgb="FFA5A5A5"/>
        <rFont val="Arial"/>
        <family val="2"/>
      </rPr>
      <t>(60%Shop ,40%Partner)</t>
    </r>
  </si>
  <si>
    <r>
      <rPr>
        <sz val="6"/>
        <color theme="1"/>
        <rFont val="Arial"/>
        <family val="2"/>
      </rPr>
      <t xml:space="preserve">Split Payout (over 100%)
 </t>
    </r>
    <r>
      <rPr>
        <sz val="6"/>
        <color rgb="FFA5A5A5"/>
        <rFont val="Arial"/>
        <family val="2"/>
      </rPr>
      <t>(60%Shop ,</t>
    </r>
    <r>
      <rPr>
        <b/>
        <sz val="6"/>
        <color rgb="FFA5A5A5"/>
        <rFont val="Arial"/>
        <family val="2"/>
      </rPr>
      <t>80%</t>
    </r>
    <r>
      <rPr>
        <sz val="6"/>
        <color rgb="FFA5A5A5"/>
        <rFont val="Arial"/>
        <family val="2"/>
      </rPr>
      <t>Partner)</t>
    </r>
  </si>
  <si>
    <r>
      <rPr>
        <u/>
        <sz val="5"/>
        <color rgb="FF000000"/>
        <rFont val="Arial"/>
        <family val="2"/>
      </rPr>
      <t>Can't</t>
    </r>
    <r>
      <rPr>
        <sz val="5"/>
        <color rgb="FF000000"/>
        <rFont val="Arial"/>
        <family val="2"/>
      </rPr>
      <t xml:space="preserve"> generate payout request</t>
    </r>
  </si>
  <si>
    <r>
      <rPr>
        <sz val="6"/>
        <color theme="1"/>
        <rFont val="Arial"/>
        <family val="2"/>
      </rPr>
      <t xml:space="preserve">Split Payout(over 100%)
 </t>
    </r>
    <r>
      <rPr>
        <sz val="6"/>
        <color rgb="FFA5A5A5"/>
        <rFont val="Arial"/>
        <family val="2"/>
      </rPr>
      <t xml:space="preserve">(60%Shop </t>
    </r>
    <r>
      <rPr>
        <b/>
        <sz val="6"/>
        <color rgb="FFA5A5A5"/>
        <rFont val="Arial"/>
        <family val="2"/>
      </rPr>
      <t>,80%</t>
    </r>
    <r>
      <rPr>
        <sz val="6"/>
        <color rgb="FFA5A5A5"/>
        <rFont val="Arial"/>
        <family val="2"/>
      </rPr>
      <t>Partner)</t>
    </r>
  </si>
  <si>
    <t>3. 10</t>
  </si>
  <si>
    <t>ATP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</si>
</sst>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75" x14ac:knownFonts="1">
    <font>
      <sz val="11"/>
      <color theme="1"/>
      <name val="Calibri"/>
      <scheme val="minor"/>
    </font>
    <font>
      <b/>
      <sz val="14"/>
      <color theme="0"/>
      <name val="Arial"/>
      <family val="2"/>
    </font>
    <font>
      <sz val="11"/>
      <name val="Calibri"/>
      <family val="2"/>
    </font>
    <font>
      <b/>
      <sz val="9"/>
      <color theme="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i/>
      <u/>
      <sz val="8"/>
      <color theme="1"/>
      <name val="Arial"/>
      <family val="2"/>
    </font>
    <font>
      <sz val="6"/>
      <color theme="1"/>
      <name val="Arial"/>
      <family val="2"/>
    </font>
    <font>
      <sz val="6"/>
      <color rgb="FF000000"/>
      <name val="Arial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7"/>
      <color theme="1"/>
      <name val="Arial"/>
      <family val="2"/>
    </font>
    <font>
      <i/>
      <sz val="7"/>
      <color rgb="FFBFBFBF"/>
      <name val="Arial"/>
      <family val="2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b/>
      <sz val="6"/>
      <color rgb="FF000000"/>
      <name val="Arial"/>
      <family val="2"/>
    </font>
    <font>
      <sz val="6"/>
      <color theme="1"/>
      <name val="Calibri"/>
      <family val="2"/>
    </font>
    <font>
      <sz val="5"/>
      <color rgb="FF000000"/>
      <name val="Arial"/>
      <family val="2"/>
    </font>
    <font>
      <sz val="5"/>
      <color theme="1"/>
      <name val="Arial"/>
      <family val="2"/>
    </font>
    <font>
      <sz val="6"/>
      <color rgb="FF00B050"/>
      <name val="Arial"/>
      <family val="2"/>
    </font>
    <font>
      <sz val="6"/>
      <color rgb="FFFF0000"/>
      <name val="Arial"/>
      <family val="2"/>
    </font>
    <font>
      <sz val="5"/>
      <color rgb="FFFF0000"/>
      <name val="Arial"/>
      <family val="2"/>
    </font>
    <font>
      <b/>
      <u/>
      <sz val="6"/>
      <color theme="1"/>
      <name val="Arial"/>
      <family val="2"/>
    </font>
    <font>
      <b/>
      <sz val="5"/>
      <color rgb="FF000000"/>
      <name val="Arial"/>
      <family val="2"/>
    </font>
    <font>
      <b/>
      <sz val="5"/>
      <color rgb="FF00B050"/>
      <name val="Arial"/>
      <family val="2"/>
    </font>
    <font>
      <b/>
      <sz val="5"/>
      <color theme="1"/>
      <name val="Arial"/>
      <family val="2"/>
    </font>
    <font>
      <b/>
      <sz val="6"/>
      <color rgb="FFFF0000"/>
      <name val="Arial"/>
      <family val="2"/>
    </font>
    <font>
      <b/>
      <sz val="5"/>
      <color rgb="FFFF0000"/>
      <name val="Arial"/>
      <family val="2"/>
    </font>
    <font>
      <u/>
      <sz val="6"/>
      <color theme="1"/>
      <name val="Arial"/>
      <family val="2"/>
    </font>
    <font>
      <u/>
      <sz val="5"/>
      <color rgb="FF000000"/>
      <name val="Arial"/>
      <family val="2"/>
    </font>
    <font>
      <u/>
      <sz val="6"/>
      <color rgb="FFFF0000"/>
      <name val="Arial"/>
      <family val="2"/>
    </font>
    <font>
      <sz val="6"/>
      <color rgb="FFA5A5A5"/>
      <name val="Arial"/>
      <family val="2"/>
    </font>
    <font>
      <b/>
      <sz val="6"/>
      <color rgb="FFA5A5A5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 tint="0.499984740745262"/>
      <name val="Calibri"/>
      <family val="2"/>
      <scheme val="minor"/>
    </font>
    <font>
      <b/>
      <sz val="9"/>
      <color theme="3" tint="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4"/>
      <name val="Calibri"/>
      <family val="2"/>
      <scheme val="minor"/>
    </font>
    <font>
      <i/>
      <u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F0"/>
      <name val="Calibri"/>
      <family val="2"/>
      <scheme val="minor"/>
    </font>
    <font>
      <sz val="9"/>
      <color theme="3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9"/>
      <color theme="5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8"/>
      <name val="Calibri"/>
      <family val="2"/>
      <scheme val="minor"/>
    </font>
    <font>
      <b/>
      <strike/>
      <sz val="9"/>
      <color rgb="FF000000"/>
      <name val="Calibri"/>
      <family val="2"/>
      <scheme val="minor"/>
    </font>
    <font>
      <b/>
      <strike/>
      <sz val="9"/>
      <color theme="1"/>
      <name val="Calibri"/>
      <family val="2"/>
    </font>
    <font>
      <strike/>
      <sz val="9"/>
      <color rgb="FF000000"/>
      <name val="Calibri"/>
      <family val="2"/>
      <scheme val="minor"/>
    </font>
    <font>
      <b/>
      <strike/>
      <sz val="9"/>
      <color rgb="FFFF0000"/>
      <name val="Calibri"/>
      <family val="2"/>
    </font>
    <font>
      <strike/>
      <sz val="9"/>
      <color rgb="FFFF0000"/>
      <name val="Calibri"/>
      <family val="2"/>
      <scheme val="minor"/>
    </font>
    <font>
      <b/>
      <sz val="9"/>
      <color theme="9"/>
      <name val="Calibri"/>
      <family val="2"/>
      <scheme val="minor"/>
    </font>
    <font>
      <b/>
      <sz val="9"/>
      <color theme="4"/>
      <name val="Calibri"/>
      <family val="2"/>
    </font>
    <font>
      <b/>
      <sz val="9"/>
      <color theme="9"/>
      <name val="Calibri"/>
      <family val="2"/>
    </font>
    <font>
      <b/>
      <strike/>
      <sz val="9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D0CECE"/>
        <bgColor rgb="FFD0CECE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F9999"/>
        <bgColor rgb="FFFF999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CECE"/>
        <bgColor rgb="FFD1D1D1"/>
      </patternFill>
    </fill>
    <fill>
      <patternFill patternType="solid">
        <fgColor rgb="FFE8E8E8"/>
        <bgColor rgb="FFE2EFD9"/>
      </patternFill>
    </fill>
    <fill>
      <patternFill patternType="solid">
        <fgColor rgb="FFD0CECE"/>
        <bgColor indexed="64"/>
      </patternFill>
    </fill>
    <fill>
      <patternFill patternType="solid">
        <fgColor theme="7" tint="0.79998168889431442"/>
        <bgColor rgb="FFD1D1D1"/>
      </patternFill>
    </fill>
    <fill>
      <patternFill patternType="solid">
        <fgColor rgb="FFFF9999"/>
        <bgColor rgb="FFD1D1D1"/>
      </patternFill>
    </fill>
    <fill>
      <patternFill patternType="solid">
        <fgColor rgb="FFFF9999"/>
        <bgColor rgb="FFD0CE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2">
    <xf numFmtId="0" fontId="0" fillId="0" borderId="0" xfId="0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9" fillId="8" borderId="1" xfId="0" applyFont="1" applyFill="1" applyBorder="1"/>
    <xf numFmtId="0" fontId="3" fillId="8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/>
    <xf numFmtId="0" fontId="12" fillId="0" borderId="0" xfId="0" applyFont="1"/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4" fillId="3" borderId="16" xfId="0" applyFont="1" applyFill="1" applyBorder="1" applyAlignment="1">
      <alignment horizontal="center" vertical="center" wrapText="1" readingOrder="1"/>
    </xf>
    <xf numFmtId="0" fontId="14" fillId="3" borderId="9" xfId="0" applyFont="1" applyFill="1" applyBorder="1" applyAlignment="1">
      <alignment vertical="top"/>
    </xf>
    <xf numFmtId="0" fontId="14" fillId="3" borderId="9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6" fillId="0" borderId="0" xfId="0" applyFont="1"/>
    <xf numFmtId="0" fontId="8" fillId="8" borderId="9" xfId="0" applyFont="1" applyFill="1" applyBorder="1" applyAlignment="1">
      <alignment horizontal="center" vertical="top" wrapText="1" readingOrder="1"/>
    </xf>
    <xf numFmtId="0" fontId="15" fillId="8" borderId="9" xfId="0" applyFont="1" applyFill="1" applyBorder="1" applyAlignment="1">
      <alignment horizontal="left" vertical="top" wrapText="1" readingOrder="1"/>
    </xf>
    <xf numFmtId="0" fontId="8" fillId="8" borderId="9" xfId="0" applyFont="1" applyFill="1" applyBorder="1" applyAlignment="1">
      <alignment horizontal="left" vertical="top" wrapText="1" readingOrder="1"/>
    </xf>
    <xf numFmtId="0" fontId="17" fillId="8" borderId="9" xfId="0" applyFont="1" applyFill="1" applyBorder="1" applyAlignment="1">
      <alignment horizontal="left" vertical="top" wrapText="1" readingOrder="1"/>
    </xf>
    <xf numFmtId="0" fontId="8" fillId="8" borderId="9" xfId="0" applyFont="1" applyFill="1" applyBorder="1" applyAlignment="1">
      <alignment horizontal="left" vertical="center" wrapText="1" readingOrder="1"/>
    </xf>
    <xf numFmtId="0" fontId="8" fillId="8" borderId="9" xfId="0" applyFont="1" applyFill="1" applyBorder="1" applyAlignment="1">
      <alignment horizontal="center" vertical="center" wrapText="1" readingOrder="1"/>
    </xf>
    <xf numFmtId="0" fontId="8" fillId="8" borderId="1" xfId="0" applyFont="1" applyFill="1" applyBorder="1" applyAlignment="1">
      <alignment horizontal="left" vertical="center" wrapText="1" readingOrder="1"/>
    </xf>
    <xf numFmtId="0" fontId="14" fillId="8" borderId="19" xfId="0" applyFont="1" applyFill="1" applyBorder="1" applyAlignment="1">
      <alignment horizontal="left" vertical="top" wrapText="1" readingOrder="1"/>
    </xf>
    <xf numFmtId="0" fontId="7" fillId="8" borderId="9" xfId="0" applyFont="1" applyFill="1" applyBorder="1" applyAlignment="1">
      <alignment horizontal="left" vertical="top" wrapText="1" readingOrder="1"/>
    </xf>
    <xf numFmtId="0" fontId="18" fillId="8" borderId="9" xfId="0" applyFont="1" applyFill="1" applyBorder="1" applyAlignment="1">
      <alignment horizontal="left" vertical="top" wrapText="1" readingOrder="1"/>
    </xf>
    <xf numFmtId="0" fontId="19" fillId="8" borderId="9" xfId="0" applyFont="1" applyFill="1" applyBorder="1" applyAlignment="1">
      <alignment horizontal="left" vertical="center" wrapText="1" readingOrder="1"/>
    </xf>
    <xf numFmtId="0" fontId="19" fillId="8" borderId="9" xfId="0" applyFont="1" applyFill="1" applyBorder="1" applyAlignment="1">
      <alignment horizontal="center" vertical="center" wrapText="1" readingOrder="1"/>
    </xf>
    <xf numFmtId="0" fontId="14" fillId="8" borderId="9" xfId="0" applyFont="1" applyFill="1" applyBorder="1" applyAlignment="1">
      <alignment horizontal="left" vertical="top" wrapText="1" readingOrder="1"/>
    </xf>
    <xf numFmtId="0" fontId="7" fillId="8" borderId="19" xfId="0" applyFont="1" applyFill="1" applyBorder="1" applyAlignment="1">
      <alignment horizontal="left" vertical="top" wrapText="1" readingOrder="1"/>
    </xf>
    <xf numFmtId="0" fontId="8" fillId="8" borderId="19" xfId="0" applyFont="1" applyFill="1" applyBorder="1" applyAlignment="1">
      <alignment horizontal="left" vertical="center" wrapText="1" readingOrder="1"/>
    </xf>
    <xf numFmtId="0" fontId="8" fillId="8" borderId="19" xfId="0" applyFont="1" applyFill="1" applyBorder="1" applyAlignment="1">
      <alignment horizontal="center" vertical="center" wrapText="1" readingOrder="1"/>
    </xf>
    <xf numFmtId="0" fontId="20" fillId="8" borderId="9" xfId="0" applyFont="1" applyFill="1" applyBorder="1" applyAlignment="1">
      <alignment horizontal="left" vertical="top" wrapText="1" readingOrder="1"/>
    </xf>
    <xf numFmtId="0" fontId="21" fillId="8" borderId="9" xfId="0" applyFont="1" applyFill="1" applyBorder="1" applyAlignment="1">
      <alignment horizontal="left" vertical="top" wrapText="1" readingOrder="1"/>
    </xf>
    <xf numFmtId="0" fontId="17" fillId="8" borderId="16" xfId="0" applyFont="1" applyFill="1" applyBorder="1" applyAlignment="1">
      <alignment horizontal="left" vertical="top" wrapText="1" readingOrder="1"/>
    </xf>
    <xf numFmtId="0" fontId="8" fillId="8" borderId="16" xfId="0" applyFont="1" applyFill="1" applyBorder="1" applyAlignment="1">
      <alignment horizontal="left" vertical="center" wrapText="1" readingOrder="1"/>
    </xf>
    <xf numFmtId="0" fontId="8" fillId="8" borderId="16" xfId="0" applyFont="1" applyFill="1" applyBorder="1" applyAlignment="1">
      <alignment horizontal="center" vertical="center" wrapText="1" readingOrder="1"/>
    </xf>
    <xf numFmtId="2" fontId="8" fillId="8" borderId="16" xfId="0" applyNumberFormat="1" applyFont="1" applyFill="1" applyBorder="1" applyAlignment="1">
      <alignment horizontal="center" vertical="top" wrapText="1" readingOrder="1"/>
    </xf>
    <xf numFmtId="0" fontId="7" fillId="8" borderId="12" xfId="0" applyFont="1" applyFill="1" applyBorder="1" applyAlignment="1">
      <alignment horizontal="left" vertical="top" wrapText="1" readingOrder="1"/>
    </xf>
    <xf numFmtId="0" fontId="17" fillId="8" borderId="12" xfId="0" applyFont="1" applyFill="1" applyBorder="1" applyAlignment="1">
      <alignment horizontal="left" vertical="top" wrapText="1" readingOrder="1"/>
    </xf>
    <xf numFmtId="0" fontId="8" fillId="8" borderId="12" xfId="0" applyFont="1" applyFill="1" applyBorder="1" applyAlignment="1">
      <alignment horizontal="left" vertical="center" wrapText="1" readingOrder="1"/>
    </xf>
    <xf numFmtId="0" fontId="8" fillId="8" borderId="12" xfId="0" applyFont="1" applyFill="1" applyBorder="1" applyAlignment="1">
      <alignment horizontal="center" vertical="center" wrapText="1" readingOrder="1"/>
    </xf>
    <xf numFmtId="0" fontId="17" fillId="8" borderId="19" xfId="0" applyFont="1" applyFill="1" applyBorder="1" applyAlignment="1">
      <alignment horizontal="left" vertical="top" wrapText="1" readingOrder="1"/>
    </xf>
    <xf numFmtId="0" fontId="8" fillId="8" borderId="19" xfId="0" applyFont="1" applyFill="1" applyBorder="1" applyAlignment="1">
      <alignment horizontal="center" vertical="top" wrapText="1" readingOrder="1"/>
    </xf>
    <xf numFmtId="165" fontId="8" fillId="8" borderId="9" xfId="0" applyNumberFormat="1" applyFont="1" applyFill="1" applyBorder="1" applyAlignment="1">
      <alignment horizontal="center" vertical="top" wrapText="1" readingOrder="1"/>
    </xf>
    <xf numFmtId="0" fontId="17" fillId="8" borderId="19" xfId="0" applyFont="1" applyFill="1" applyBorder="1" applyAlignment="1">
      <alignment horizontal="center" vertical="top" wrapText="1" readingOrder="1"/>
    </xf>
    <xf numFmtId="2" fontId="8" fillId="8" borderId="9" xfId="0" applyNumberFormat="1" applyFont="1" applyFill="1" applyBorder="1" applyAlignment="1">
      <alignment horizontal="center" vertical="top" wrapText="1" readingOrder="1"/>
    </xf>
    <xf numFmtId="0" fontId="23" fillId="8" borderId="19" xfId="0" applyFont="1" applyFill="1" applyBorder="1" applyAlignment="1">
      <alignment horizontal="left" vertical="top" wrapText="1" readingOrder="1"/>
    </xf>
    <xf numFmtId="0" fontId="24" fillId="8" borderId="9" xfId="0" applyFont="1" applyFill="1" applyBorder="1" applyAlignment="1">
      <alignment horizontal="left" vertical="top" wrapText="1" readingOrder="1"/>
    </xf>
    <xf numFmtId="2" fontId="8" fillId="8" borderId="12" xfId="0" applyNumberFormat="1" applyFont="1" applyFill="1" applyBorder="1" applyAlignment="1">
      <alignment horizontal="center" vertical="top" wrapText="1" readingOrder="1"/>
    </xf>
    <xf numFmtId="0" fontId="8" fillId="8" borderId="6" xfId="0" applyFont="1" applyFill="1" applyBorder="1" applyAlignment="1">
      <alignment horizontal="center" vertical="top" wrapText="1" readingOrder="1"/>
    </xf>
    <xf numFmtId="0" fontId="7" fillId="8" borderId="6" xfId="0" applyFont="1" applyFill="1" applyBorder="1" applyAlignment="1">
      <alignment horizontal="left" vertical="top" wrapText="1" readingOrder="1"/>
    </xf>
    <xf numFmtId="0" fontId="17" fillId="8" borderId="6" xfId="0" applyFont="1" applyFill="1" applyBorder="1" applyAlignment="1">
      <alignment horizontal="left" vertical="top" wrapText="1" readingOrder="1"/>
    </xf>
    <xf numFmtId="0" fontId="8" fillId="8" borderId="6" xfId="0" applyFont="1" applyFill="1" applyBorder="1" applyAlignment="1">
      <alignment horizontal="left" vertical="center" wrapText="1" readingOrder="1"/>
    </xf>
    <xf numFmtId="0" fontId="8" fillId="8" borderId="6" xfId="0" applyFont="1" applyFill="1" applyBorder="1" applyAlignment="1">
      <alignment horizontal="center" vertical="center" wrapText="1" readingOrder="1"/>
    </xf>
    <xf numFmtId="0" fontId="8" fillId="8" borderId="12" xfId="0" applyFont="1" applyFill="1" applyBorder="1" applyAlignment="1">
      <alignment horizontal="center" vertical="top" wrapText="1" readingOrder="1"/>
    </xf>
    <xf numFmtId="0" fontId="14" fillId="8" borderId="12" xfId="0" applyFont="1" applyFill="1" applyBorder="1" applyAlignment="1">
      <alignment horizontal="left" vertical="top" wrapText="1" readingOrder="1"/>
    </xf>
    <xf numFmtId="0" fontId="17" fillId="8" borderId="21" xfId="0" applyFont="1" applyFill="1" applyBorder="1" applyAlignment="1">
      <alignment horizontal="left" vertical="top" wrapText="1" readingOrder="1"/>
    </xf>
    <xf numFmtId="0" fontId="7" fillId="8" borderId="12" xfId="0" applyFont="1" applyFill="1" applyBorder="1" applyAlignment="1">
      <alignment vertical="top" wrapText="1"/>
    </xf>
    <xf numFmtId="0" fontId="7" fillId="8" borderId="12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14" fillId="0" borderId="0" xfId="0" applyFont="1" applyAlignment="1">
      <alignment horizontal="right"/>
    </xf>
    <xf numFmtId="0" fontId="13" fillId="4" borderId="1" xfId="0" applyFont="1" applyFill="1" applyBorder="1" applyAlignment="1">
      <alignment horizontal="center"/>
    </xf>
    <xf numFmtId="9" fontId="4" fillId="0" borderId="0" xfId="0" applyNumberFormat="1" applyFont="1" applyAlignment="1">
      <alignment horizontal="left"/>
    </xf>
    <xf numFmtId="0" fontId="13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35" fillId="0" borderId="1" xfId="0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3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1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0" xfId="0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40" fillId="0" borderId="0" xfId="0" applyFont="1" applyAlignment="1">
      <alignment horizontal="right" vertical="center"/>
    </xf>
    <xf numFmtId="164" fontId="44" fillId="0" borderId="0" xfId="0" applyNumberFormat="1" applyFont="1" applyAlignment="1">
      <alignment horizontal="center" vertical="center"/>
    </xf>
    <xf numFmtId="0" fontId="41" fillId="3" borderId="22" xfId="0" applyFont="1" applyFill="1" applyBorder="1" applyAlignment="1">
      <alignment horizontal="center" vertical="center" wrapText="1" readingOrder="1"/>
    </xf>
    <xf numFmtId="0" fontId="44" fillId="0" borderId="22" xfId="0" applyFont="1" applyBorder="1" applyAlignment="1">
      <alignment horizontal="left" vertical="center" wrapText="1" readingOrder="1"/>
    </xf>
    <xf numFmtId="0" fontId="33" fillId="0" borderId="22" xfId="0" applyFont="1" applyBorder="1" applyAlignment="1">
      <alignment horizontal="center" vertical="center" wrapText="1" readingOrder="1"/>
    </xf>
    <xf numFmtId="0" fontId="33" fillId="0" borderId="22" xfId="0" applyFont="1" applyBorder="1" applyAlignment="1">
      <alignment horizontal="left" vertical="center" wrapText="1" readingOrder="1"/>
    </xf>
    <xf numFmtId="0" fontId="48" fillId="0" borderId="0" xfId="0" applyFont="1" applyAlignment="1">
      <alignment horizontal="center" vertical="center" wrapText="1" readingOrder="1"/>
    </xf>
    <xf numFmtId="0" fontId="48" fillId="0" borderId="0" xfId="0" applyFont="1" applyAlignment="1">
      <alignment horizontal="left" vertical="center" wrapText="1" readingOrder="1"/>
    </xf>
    <xf numFmtId="0" fontId="41" fillId="0" borderId="0" xfId="0" applyFont="1" applyAlignment="1">
      <alignment horizontal="left" vertical="center" wrapText="1" readingOrder="1"/>
    </xf>
    <xf numFmtId="0" fontId="44" fillId="0" borderId="0" xfId="0" applyFont="1" applyAlignment="1">
      <alignment horizontal="left" vertical="center" wrapText="1" readingOrder="1"/>
    </xf>
    <xf numFmtId="0" fontId="33" fillId="0" borderId="0" xfId="0" applyFont="1" applyAlignment="1">
      <alignment horizontal="center" vertical="center" wrapText="1" readingOrder="1"/>
    </xf>
    <xf numFmtId="0" fontId="33" fillId="4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41" fillId="9" borderId="22" xfId="0" applyFont="1" applyFill="1" applyBorder="1" applyAlignment="1">
      <alignment horizontal="center" vertical="center" wrapText="1" readingOrder="1"/>
    </xf>
    <xf numFmtId="0" fontId="33" fillId="9" borderId="22" xfId="0" applyFont="1" applyFill="1" applyBorder="1" applyAlignment="1">
      <alignment horizontal="center" vertical="center" wrapText="1" readingOrder="1"/>
    </xf>
    <xf numFmtId="0" fontId="36" fillId="9" borderId="22" xfId="0" applyFont="1" applyFill="1" applyBorder="1" applyAlignment="1">
      <alignment horizontal="left" vertical="top" wrapText="1"/>
    </xf>
    <xf numFmtId="0" fontId="40" fillId="0" borderId="1" xfId="0" quotePrefix="1" applyFont="1" applyBorder="1" applyAlignment="1">
      <alignment vertical="center"/>
    </xf>
    <xf numFmtId="49" fontId="41" fillId="9" borderId="22" xfId="0" applyNumberFormat="1" applyFont="1" applyFill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51" fillId="9" borderId="22" xfId="0" applyFont="1" applyFill="1" applyBorder="1" applyAlignment="1">
      <alignment horizontal="left" vertical="center" wrapText="1"/>
    </xf>
    <xf numFmtId="0" fontId="44" fillId="0" borderId="1" xfId="0" applyFont="1" applyBorder="1" applyAlignment="1">
      <alignment vertical="center"/>
    </xf>
    <xf numFmtId="0" fontId="48" fillId="11" borderId="22" xfId="0" applyFont="1" applyFill="1" applyBorder="1" applyAlignment="1">
      <alignment horizontal="left" vertical="top" wrapText="1" readingOrder="1"/>
    </xf>
    <xf numFmtId="0" fontId="44" fillId="0" borderId="23" xfId="0" applyFont="1" applyBorder="1" applyAlignment="1">
      <alignment horizontal="left" vertical="center" wrapText="1" readingOrder="1"/>
    </xf>
    <xf numFmtId="0" fontId="48" fillId="0" borderId="22" xfId="0" applyFont="1" applyBorder="1" applyAlignment="1">
      <alignment horizontal="left" vertical="top" wrapText="1" readingOrder="1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 wrapText="1" readingOrder="1"/>
    </xf>
    <xf numFmtId="0" fontId="44" fillId="0" borderId="1" xfId="0" applyFont="1" applyBorder="1" applyAlignment="1">
      <alignment horizontal="center" vertical="center" wrapText="1" readingOrder="1"/>
    </xf>
    <xf numFmtId="0" fontId="44" fillId="0" borderId="0" xfId="0" applyFont="1" applyAlignment="1">
      <alignment vertical="center"/>
    </xf>
    <xf numFmtId="0" fontId="44" fillId="0" borderId="30" xfId="0" applyFont="1" applyBorder="1" applyAlignment="1">
      <alignment vertical="center"/>
    </xf>
    <xf numFmtId="0" fontId="33" fillId="0" borderId="23" xfId="0" applyFont="1" applyBorder="1" applyAlignment="1">
      <alignment horizontal="center" vertical="center" wrapText="1" readingOrder="1"/>
    </xf>
    <xf numFmtId="0" fontId="48" fillId="10" borderId="22" xfId="0" applyFont="1" applyFill="1" applyBorder="1" applyAlignment="1">
      <alignment horizontal="center" vertical="center" wrapText="1" readingOrder="1"/>
    </xf>
    <xf numFmtId="0" fontId="44" fillId="0" borderId="0" xfId="0" applyFont="1" applyAlignment="1">
      <alignment horizontal="center" vertical="center"/>
    </xf>
    <xf numFmtId="0" fontId="33" fillId="0" borderId="34" xfId="0" applyFont="1" applyBorder="1" applyAlignment="1">
      <alignment horizontal="center" vertical="center" wrapText="1" readingOrder="1"/>
    </xf>
    <xf numFmtId="0" fontId="33" fillId="0" borderId="26" xfId="0" applyFont="1" applyBorder="1" applyAlignment="1">
      <alignment horizontal="center" vertical="center" wrapText="1" readingOrder="1"/>
    </xf>
    <xf numFmtId="0" fontId="49" fillId="0" borderId="22" xfId="0" applyFont="1" applyBorder="1" applyAlignment="1">
      <alignment horizontal="left" vertical="top" wrapText="1" readingOrder="1"/>
    </xf>
    <xf numFmtId="0" fontId="48" fillId="13" borderId="23" xfId="0" applyFont="1" applyFill="1" applyBorder="1" applyAlignment="1">
      <alignment horizontal="center" vertical="center" wrapText="1" readingOrder="1"/>
    </xf>
    <xf numFmtId="49" fontId="48" fillId="13" borderId="22" xfId="0" applyNumberFormat="1" applyFont="1" applyFill="1" applyBorder="1" applyAlignment="1">
      <alignment horizontal="left" vertical="center"/>
    </xf>
    <xf numFmtId="0" fontId="36" fillId="13" borderId="34" xfId="0" applyFont="1" applyFill="1" applyBorder="1" applyAlignment="1">
      <alignment horizontal="left" vertical="top" wrapText="1"/>
    </xf>
    <xf numFmtId="0" fontId="52" fillId="14" borderId="22" xfId="0" applyFont="1" applyFill="1" applyBorder="1" applyAlignment="1">
      <alignment horizontal="center" vertical="center"/>
    </xf>
    <xf numFmtId="0" fontId="52" fillId="14" borderId="34" xfId="0" applyFont="1" applyFill="1" applyBorder="1" applyAlignment="1">
      <alignment horizontal="center" vertical="center"/>
    </xf>
    <xf numFmtId="0" fontId="52" fillId="14" borderId="23" xfId="0" applyFont="1" applyFill="1" applyBorder="1" applyAlignment="1">
      <alignment horizontal="center" vertical="center" wrapText="1"/>
    </xf>
    <xf numFmtId="0" fontId="52" fillId="15" borderId="22" xfId="0" applyFont="1" applyFill="1" applyBorder="1" applyAlignment="1">
      <alignment horizontal="center" vertical="center" wrapText="1"/>
    </xf>
    <xf numFmtId="0" fontId="52" fillId="15" borderId="22" xfId="0" applyFont="1" applyFill="1" applyBorder="1" applyAlignment="1">
      <alignment horizontal="center" vertical="center"/>
    </xf>
    <xf numFmtId="0" fontId="51" fillId="13" borderId="23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/>
    </xf>
    <xf numFmtId="0" fontId="33" fillId="0" borderId="22" xfId="0" applyFont="1" applyBorder="1" applyAlignment="1">
      <alignment vertical="center"/>
    </xf>
    <xf numFmtId="0" fontId="48" fillId="0" borderId="1" xfId="0" applyFont="1" applyBorder="1" applyAlignment="1">
      <alignment horizontal="left" vertical="center" wrapText="1" readingOrder="1"/>
    </xf>
    <xf numFmtId="0" fontId="49" fillId="0" borderId="1" xfId="0" applyFont="1" applyBorder="1" applyAlignment="1">
      <alignment horizontal="left" vertical="top" wrapText="1" readingOrder="1"/>
    </xf>
    <xf numFmtId="0" fontId="48" fillId="0" borderId="1" xfId="0" applyFont="1" applyBorder="1" applyAlignment="1">
      <alignment horizontal="left" vertical="top"/>
    </xf>
    <xf numFmtId="0" fontId="36" fillId="0" borderId="1" xfId="0" applyFont="1" applyBorder="1" applyAlignment="1">
      <alignment vertical="top" wrapText="1" readingOrder="1"/>
    </xf>
    <xf numFmtId="0" fontId="33" fillId="0" borderId="1" xfId="0" applyFont="1" applyBorder="1" applyAlignment="1">
      <alignment horizontal="center" vertical="center" wrapText="1" readingOrder="1"/>
    </xf>
    <xf numFmtId="0" fontId="33" fillId="0" borderId="1" xfId="0" applyFont="1" applyBorder="1" applyAlignment="1">
      <alignment horizontal="left" vertical="center" wrapText="1" readingOrder="1"/>
    </xf>
    <xf numFmtId="0" fontId="41" fillId="0" borderId="1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top" wrapText="1" readingOrder="1"/>
    </xf>
    <xf numFmtId="0" fontId="41" fillId="0" borderId="22" xfId="0" applyFont="1" applyBorder="1" applyAlignment="1">
      <alignment horizontal="left" vertical="top" wrapText="1" readingOrder="1"/>
    </xf>
    <xf numFmtId="0" fontId="59" fillId="11" borderId="22" xfId="0" applyFont="1" applyFill="1" applyBorder="1" applyAlignment="1">
      <alignment horizontal="left" vertical="top" wrapText="1" readingOrder="1"/>
    </xf>
    <xf numFmtId="0" fontId="4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1" fillId="0" borderId="1" xfId="0" applyFont="1" applyBorder="1" applyAlignment="1">
      <alignment vertical="center"/>
    </xf>
    <xf numFmtId="0" fontId="60" fillId="0" borderId="0" xfId="0" applyFont="1" applyAlignment="1">
      <alignment vertical="center"/>
    </xf>
    <xf numFmtId="49" fontId="48" fillId="0" borderId="22" xfId="0" applyNumberFormat="1" applyFont="1" applyBorder="1" applyAlignment="1">
      <alignment horizontal="left" vertical="top" wrapText="1" readingOrder="1"/>
    </xf>
    <xf numFmtId="49" fontId="40" fillId="0" borderId="22" xfId="0" applyNumberFormat="1" applyFont="1" applyBorder="1" applyAlignment="1">
      <alignment horizontal="left" vertical="top" wrapText="1" readingOrder="1"/>
    </xf>
    <xf numFmtId="0" fontId="43" fillId="0" borderId="0" xfId="0" applyFont="1" applyAlignment="1">
      <alignment horizontal="left" vertical="center"/>
    </xf>
    <xf numFmtId="0" fontId="36" fillId="0" borderId="22" xfId="0" applyFont="1" applyBorder="1"/>
    <xf numFmtId="49" fontId="48" fillId="0" borderId="22" xfId="0" applyNumberFormat="1" applyFont="1" applyBorder="1" applyAlignment="1">
      <alignment horizontal="left" vertical="center" wrapText="1" readingOrder="1"/>
    </xf>
    <xf numFmtId="0" fontId="41" fillId="17" borderId="22" xfId="0" applyFont="1" applyFill="1" applyBorder="1" applyAlignment="1">
      <alignment horizontal="center" vertical="center"/>
    </xf>
    <xf numFmtId="0" fontId="33" fillId="0" borderId="34" xfId="0" applyFont="1" applyBorder="1" applyAlignment="1">
      <alignment horizontal="left" vertical="center"/>
    </xf>
    <xf numFmtId="0" fontId="33" fillId="0" borderId="35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49" fontId="40" fillId="13" borderId="22" xfId="0" applyNumberFormat="1" applyFont="1" applyFill="1" applyBorder="1" applyAlignment="1">
      <alignment horizontal="left" vertical="center"/>
    </xf>
    <xf numFmtId="49" fontId="36" fillId="0" borderId="1" xfId="0" applyNumberFormat="1" applyFont="1" applyBorder="1"/>
    <xf numFmtId="49" fontId="40" fillId="0" borderId="0" xfId="0" applyNumberFormat="1" applyFont="1" applyAlignment="1">
      <alignment vertical="center"/>
    </xf>
    <xf numFmtId="49" fontId="36" fillId="0" borderId="1" xfId="0" applyNumberFormat="1" applyFont="1" applyBorder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49" fontId="36" fillId="0" borderId="0" xfId="0" applyNumberFormat="1" applyFont="1"/>
    <xf numFmtId="49" fontId="36" fillId="0" borderId="0" xfId="0" applyNumberFormat="1" applyFont="1" applyAlignment="1">
      <alignment horizontal="center" vertical="center"/>
    </xf>
    <xf numFmtId="49" fontId="36" fillId="0" borderId="0" xfId="0" applyNumberFormat="1" applyFont="1" applyAlignment="1">
      <alignment vertical="center"/>
    </xf>
    <xf numFmtId="49" fontId="36" fillId="0" borderId="1" xfId="0" applyNumberFormat="1" applyFont="1" applyBorder="1" applyAlignment="1">
      <alignment horizontal="center" vertical="center"/>
    </xf>
    <xf numFmtId="49" fontId="71" fillId="0" borderId="22" xfId="0" applyNumberFormat="1" applyFont="1" applyBorder="1" applyAlignment="1">
      <alignment horizontal="left" vertical="top" wrapText="1" readingOrder="1"/>
    </xf>
    <xf numFmtId="49" fontId="49" fillId="0" borderId="22" xfId="0" applyNumberFormat="1" applyFont="1" applyBorder="1" applyAlignment="1">
      <alignment horizontal="left" vertical="top" wrapText="1" readingOrder="1"/>
    </xf>
    <xf numFmtId="49" fontId="63" fillId="0" borderId="22" xfId="0" applyNumberFormat="1" applyFont="1" applyBorder="1" applyAlignment="1">
      <alignment horizontal="left" vertical="top" wrapText="1" readingOrder="1"/>
    </xf>
    <xf numFmtId="49" fontId="64" fillId="0" borderId="22" xfId="0" applyNumberFormat="1" applyFont="1" applyBorder="1" applyAlignment="1">
      <alignment horizontal="left" vertical="top" wrapText="1" readingOrder="1"/>
    </xf>
    <xf numFmtId="49" fontId="40" fillId="0" borderId="23" xfId="0" applyNumberFormat="1" applyFont="1" applyBorder="1" applyAlignment="1">
      <alignment horizontal="left" vertical="top" wrapText="1" readingOrder="1"/>
    </xf>
    <xf numFmtId="0" fontId="44" fillId="0" borderId="22" xfId="0" applyFont="1" applyBorder="1" applyAlignment="1">
      <alignment vertical="center"/>
    </xf>
    <xf numFmtId="0" fontId="44" fillId="9" borderId="22" xfId="0" applyFont="1" applyFill="1" applyBorder="1" applyAlignment="1">
      <alignment horizontal="center" vertical="center"/>
    </xf>
    <xf numFmtId="49" fontId="74" fillId="16" borderId="22" xfId="0" applyNumberFormat="1" applyFont="1" applyFill="1" applyBorder="1" applyAlignment="1">
      <alignment horizontal="left" vertical="top" wrapText="1" readingOrder="1"/>
    </xf>
    <xf numFmtId="0" fontId="48" fillId="0" borderId="22" xfId="0" applyFont="1" applyBorder="1" applyAlignment="1">
      <alignment vertical="center" wrapText="1" readingOrder="1"/>
    </xf>
    <xf numFmtId="49" fontId="40" fillId="0" borderId="22" xfId="0" quotePrefix="1" applyNumberFormat="1" applyFont="1" applyBorder="1" applyAlignment="1">
      <alignment horizontal="left" vertical="center" wrapText="1" readingOrder="1"/>
    </xf>
    <xf numFmtId="0" fontId="48" fillId="0" borderId="36" xfId="0" applyFont="1" applyBorder="1" applyAlignment="1">
      <alignment vertical="center" wrapText="1" readingOrder="1"/>
    </xf>
    <xf numFmtId="0" fontId="36" fillId="0" borderId="22" xfId="0" applyFont="1" applyBorder="1" applyAlignment="1">
      <alignment horizontal="left" vertical="center" wrapText="1" readingOrder="1"/>
    </xf>
    <xf numFmtId="0" fontId="36" fillId="0" borderId="36" xfId="0" applyFont="1" applyBorder="1" applyAlignment="1">
      <alignment vertical="center" wrapText="1" readingOrder="1"/>
    </xf>
    <xf numFmtId="0" fontId="36" fillId="0" borderId="22" xfId="0" applyFont="1" applyBorder="1" applyAlignment="1">
      <alignment vertical="center" wrapText="1" readingOrder="1"/>
    </xf>
    <xf numFmtId="0" fontId="41" fillId="0" borderId="35" xfId="0" applyFont="1" applyBorder="1" applyAlignment="1">
      <alignment vertical="center" wrapText="1" readingOrder="1"/>
    </xf>
    <xf numFmtId="0" fontId="48" fillId="0" borderId="22" xfId="0" applyFont="1" applyBorder="1" applyAlignment="1">
      <alignment horizontal="center" vertical="center" wrapText="1" readingOrder="1"/>
    </xf>
    <xf numFmtId="0" fontId="36" fillId="0" borderId="34" xfId="0" applyFont="1" applyBorder="1" applyAlignment="1">
      <alignment horizontal="left" vertical="top" wrapText="1"/>
    </xf>
    <xf numFmtId="0" fontId="44" fillId="0" borderId="22" xfId="0" applyFont="1" applyBorder="1" applyAlignment="1">
      <alignment horizontal="center" vertical="center"/>
    </xf>
    <xf numFmtId="0" fontId="48" fillId="0" borderId="27" xfId="0" applyFont="1" applyBorder="1" applyAlignment="1">
      <alignment horizontal="left" vertical="center" wrapText="1" readingOrder="1"/>
    </xf>
    <xf numFmtId="0" fontId="11" fillId="0" borderId="17" xfId="0" applyFont="1" applyBorder="1" applyAlignment="1">
      <alignment horizontal="center"/>
    </xf>
    <xf numFmtId="0" fontId="6" fillId="0" borderId="0" xfId="0" applyFont="1" applyAlignment="1">
      <alignment vertical="top"/>
    </xf>
    <xf numFmtId="0" fontId="14" fillId="3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top"/>
    </xf>
    <xf numFmtId="0" fontId="15" fillId="3" borderId="17" xfId="0" applyFont="1" applyFill="1" applyBorder="1" applyAlignment="1">
      <alignment horizontal="center" vertical="center" wrapText="1" readingOrder="1"/>
    </xf>
    <xf numFmtId="0" fontId="14" fillId="8" borderId="20" xfId="0" applyFont="1" applyFill="1" applyBorder="1" applyAlignment="1">
      <alignment horizontal="left" vertical="top" wrapText="1" readingOrder="1"/>
    </xf>
    <xf numFmtId="0" fontId="22" fillId="8" borderId="20" xfId="0" applyFont="1" applyFill="1" applyBorder="1" applyAlignment="1">
      <alignment horizontal="left" vertical="top" wrapText="1" readingOrder="1"/>
    </xf>
    <xf numFmtId="0" fontId="22" fillId="8" borderId="21" xfId="0" applyFont="1" applyFill="1" applyBorder="1" applyAlignment="1">
      <alignment horizontal="left" vertical="top" wrapText="1" readingOrder="1"/>
    </xf>
    <xf numFmtId="0" fontId="48" fillId="0" borderId="27" xfId="0" applyFont="1" applyBorder="1" applyAlignment="1">
      <alignment horizontal="center" vertical="center" wrapText="1" readingOrder="1"/>
    </xf>
    <xf numFmtId="0" fontId="41" fillId="0" borderId="26" xfId="0" applyFont="1" applyBorder="1" applyAlignment="1">
      <alignment horizontal="left" vertical="center" wrapText="1" readingOrder="1"/>
    </xf>
    <xf numFmtId="0" fontId="41" fillId="0" borderId="27" xfId="0" applyFont="1" applyBorder="1" applyAlignment="1">
      <alignment horizontal="left" vertical="center" wrapText="1" readingOrder="1"/>
    </xf>
    <xf numFmtId="0" fontId="41" fillId="0" borderId="28" xfId="0" applyFont="1" applyBorder="1" applyAlignment="1">
      <alignment horizontal="left" vertical="center" wrapText="1" readingOrder="1"/>
    </xf>
    <xf numFmtId="0" fontId="44" fillId="0" borderId="34" xfId="0" applyFont="1" applyBorder="1" applyAlignment="1">
      <alignment horizontal="left" vertical="center" wrapText="1" readingOrder="1"/>
    </xf>
    <xf numFmtId="0" fontId="44" fillId="0" borderId="36" xfId="0" applyFont="1" applyBorder="1" applyAlignment="1">
      <alignment horizontal="left" vertical="center" wrapText="1" readingOrder="1"/>
    </xf>
    <xf numFmtId="0" fontId="41" fillId="0" borderId="22" xfId="0" applyFont="1" applyBorder="1" applyAlignment="1">
      <alignment horizontal="left" vertical="center" wrapText="1" readingOrder="1"/>
    </xf>
    <xf numFmtId="0" fontId="33" fillId="0" borderId="34" xfId="0" applyFont="1" applyBorder="1" applyAlignment="1">
      <alignment horizontal="left" vertical="center"/>
    </xf>
    <xf numFmtId="0" fontId="33" fillId="0" borderId="35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41" fillId="0" borderId="34" xfId="0" applyFont="1" applyBorder="1" applyAlignment="1">
      <alignment horizontal="left" vertical="center" wrapText="1" readingOrder="1"/>
    </xf>
    <xf numFmtId="0" fontId="41" fillId="0" borderId="36" xfId="0" applyFont="1" applyBorder="1" applyAlignment="1">
      <alignment horizontal="left" vertical="center" wrapText="1" readingOrder="1"/>
    </xf>
    <xf numFmtId="0" fontId="35" fillId="2" borderId="1" xfId="0" applyFont="1" applyFill="1" applyBorder="1" applyAlignment="1">
      <alignment horizontal="left" vertical="center"/>
    </xf>
    <xf numFmtId="0" fontId="39" fillId="0" borderId="0" xfId="0" applyFont="1" applyAlignment="1">
      <alignment vertical="center"/>
    </xf>
    <xf numFmtId="0" fontId="34" fillId="0" borderId="0" xfId="0" applyFont="1"/>
    <xf numFmtId="0" fontId="40" fillId="0" borderId="32" xfId="0" quotePrefix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33" fillId="0" borderId="1" xfId="0" applyFont="1" applyBorder="1" applyAlignment="1">
      <alignment horizontal="left" vertical="center"/>
    </xf>
    <xf numFmtId="0" fontId="41" fillId="0" borderId="33" xfId="0" applyFont="1" applyBorder="1" applyAlignment="1">
      <alignment horizontal="left" vertical="center" wrapText="1" readingOrder="1"/>
    </xf>
    <xf numFmtId="0" fontId="41" fillId="9" borderId="34" xfId="0" applyFont="1" applyFill="1" applyBorder="1" applyAlignment="1">
      <alignment horizontal="left" vertical="center"/>
    </xf>
    <xf numFmtId="0" fontId="41" fillId="9" borderId="35" xfId="0" applyFont="1" applyFill="1" applyBorder="1" applyAlignment="1">
      <alignment horizontal="left" vertical="center"/>
    </xf>
    <xf numFmtId="0" fontId="44" fillId="9" borderId="22" xfId="0" applyFont="1" applyFill="1" applyBorder="1" applyAlignment="1">
      <alignment horizontal="left" vertical="center" wrapText="1" readingOrder="1"/>
    </xf>
    <xf numFmtId="0" fontId="36" fillId="9" borderId="22" xfId="0" applyFont="1" applyFill="1" applyBorder="1" applyAlignment="1">
      <alignment wrapText="1"/>
    </xf>
    <xf numFmtId="0" fontId="36" fillId="9" borderId="34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0" fontId="36" fillId="9" borderId="36" xfId="0" applyFont="1" applyFill="1" applyBorder="1" applyAlignment="1">
      <alignment horizontal="center" vertical="center"/>
    </xf>
    <xf numFmtId="0" fontId="44" fillId="0" borderId="22" xfId="0" applyFont="1" applyBorder="1" applyAlignment="1">
      <alignment horizontal="left" vertical="center" wrapText="1" readingOrder="1"/>
    </xf>
    <xf numFmtId="0" fontId="36" fillId="0" borderId="22" xfId="0" applyFont="1" applyBorder="1"/>
    <xf numFmtId="0" fontId="33" fillId="0" borderId="34" xfId="0" applyFont="1" applyBorder="1" applyAlignment="1">
      <alignment horizontal="left" vertical="top" wrapText="1" readingOrder="1"/>
    </xf>
    <xf numFmtId="0" fontId="33" fillId="0" borderId="35" xfId="0" applyFont="1" applyBorder="1" applyAlignment="1">
      <alignment horizontal="left" vertical="top" wrapText="1" readingOrder="1"/>
    </xf>
    <xf numFmtId="0" fontId="33" fillId="0" borderId="36" xfId="0" applyFont="1" applyBorder="1" applyAlignment="1">
      <alignment horizontal="left" vertical="top" wrapText="1" readingOrder="1"/>
    </xf>
    <xf numFmtId="0" fontId="41" fillId="3" borderId="22" xfId="0" applyFont="1" applyFill="1" applyBorder="1" applyAlignment="1">
      <alignment horizontal="center" vertical="center"/>
    </xf>
    <xf numFmtId="0" fontId="36" fillId="0" borderId="22" xfId="0" applyFont="1" applyBorder="1" applyAlignment="1">
      <alignment horizontal="center"/>
    </xf>
    <xf numFmtId="0" fontId="41" fillId="3" borderId="34" xfId="0" applyFont="1" applyFill="1" applyBorder="1" applyAlignment="1">
      <alignment horizontal="center" vertical="center"/>
    </xf>
    <xf numFmtId="0" fontId="41" fillId="3" borderId="35" xfId="0" applyFont="1" applyFill="1" applyBorder="1" applyAlignment="1">
      <alignment horizontal="center" vertical="center"/>
    </xf>
    <xf numFmtId="0" fontId="41" fillId="3" borderId="36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left" vertical="top" wrapText="1" readingOrder="1"/>
    </xf>
    <xf numFmtId="0" fontId="36" fillId="0" borderId="22" xfId="0" applyFont="1" applyBorder="1" applyAlignment="1">
      <alignment horizontal="left" vertical="top"/>
    </xf>
    <xf numFmtId="0" fontId="48" fillId="0" borderId="26" xfId="0" applyFont="1" applyBorder="1" applyAlignment="1">
      <alignment horizontal="left" vertical="center" wrapText="1" readingOrder="1"/>
    </xf>
    <xf numFmtId="0" fontId="48" fillId="0" borderId="27" xfId="0" applyFont="1" applyBorder="1" applyAlignment="1">
      <alignment horizontal="left" vertical="center" wrapText="1" readingOrder="1"/>
    </xf>
    <xf numFmtId="0" fontId="48" fillId="0" borderId="28" xfId="0" applyFont="1" applyBorder="1" applyAlignment="1">
      <alignment horizontal="left" vertical="center" wrapText="1" readingOrder="1"/>
    </xf>
    <xf numFmtId="0" fontId="48" fillId="0" borderId="29" xfId="0" applyFont="1" applyBorder="1" applyAlignment="1">
      <alignment horizontal="left" vertical="center" wrapText="1" readingOrder="1"/>
    </xf>
    <xf numFmtId="0" fontId="48" fillId="0" borderId="1" xfId="0" applyFont="1" applyBorder="1" applyAlignment="1">
      <alignment horizontal="left" vertical="center" wrapText="1" readingOrder="1"/>
    </xf>
    <xf numFmtId="0" fontId="48" fillId="0" borderId="30" xfId="0" applyFont="1" applyBorder="1" applyAlignment="1">
      <alignment horizontal="left" vertical="center" wrapText="1" readingOrder="1"/>
    </xf>
    <xf numFmtId="0" fontId="41" fillId="0" borderId="23" xfId="0" applyFont="1" applyBorder="1" applyAlignment="1">
      <alignment horizontal="left" vertical="center" wrapText="1" readingOrder="1"/>
    </xf>
    <xf numFmtId="0" fontId="41" fillId="0" borderId="24" xfId="0" applyFont="1" applyBorder="1" applyAlignment="1">
      <alignment horizontal="left" vertical="center" wrapText="1" readingOrder="1"/>
    </xf>
    <xf numFmtId="0" fontId="41" fillId="0" borderId="0" xfId="0" applyFont="1" applyAlignment="1">
      <alignment horizontal="left" vertical="center"/>
    </xf>
    <xf numFmtId="0" fontId="48" fillId="9" borderId="34" xfId="0" applyFont="1" applyFill="1" applyBorder="1" applyAlignment="1">
      <alignment horizontal="left" vertical="top" wrapText="1" readingOrder="1"/>
    </xf>
    <xf numFmtId="0" fontId="48" fillId="9" borderId="35" xfId="0" applyFont="1" applyFill="1" applyBorder="1" applyAlignment="1">
      <alignment horizontal="left" vertical="top" wrapText="1" readingOrder="1"/>
    </xf>
    <xf numFmtId="0" fontId="48" fillId="9" borderId="36" xfId="0" applyFont="1" applyFill="1" applyBorder="1" applyAlignment="1">
      <alignment horizontal="left" vertical="top" wrapText="1" readingOrder="1"/>
    </xf>
    <xf numFmtId="0" fontId="41" fillId="9" borderId="36" xfId="0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 wrapText="1"/>
    </xf>
    <xf numFmtId="0" fontId="48" fillId="0" borderId="23" xfId="0" applyFont="1" applyBorder="1" applyAlignment="1">
      <alignment horizontal="center" vertical="center" wrapText="1" readingOrder="1"/>
    </xf>
    <xf numFmtId="0" fontId="48" fillId="0" borderId="24" xfId="0" applyFont="1" applyBorder="1" applyAlignment="1">
      <alignment horizontal="center" vertical="center" wrapText="1" readingOrder="1"/>
    </xf>
    <xf numFmtId="0" fontId="42" fillId="0" borderId="1" xfId="0" applyFont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8" fillId="3" borderId="22" xfId="0" applyFont="1" applyFill="1" applyBorder="1" applyAlignment="1">
      <alignment horizontal="center" vertical="center" wrapText="1" readingOrder="1"/>
    </xf>
    <xf numFmtId="0" fontId="33" fillId="0" borderId="22" xfId="0" applyFont="1" applyBorder="1" applyAlignment="1">
      <alignment horizontal="left" vertical="center" wrapText="1" readingOrder="1"/>
    </xf>
    <xf numFmtId="0" fontId="36" fillId="0" borderId="22" xfId="0" applyFont="1" applyBorder="1" applyAlignment="1">
      <alignment wrapText="1"/>
    </xf>
    <xf numFmtId="0" fontId="45" fillId="0" borderId="1" xfId="0" applyFont="1" applyBorder="1" applyAlignment="1">
      <alignment horizontal="left" vertical="center"/>
    </xf>
    <xf numFmtId="0" fontId="46" fillId="0" borderId="32" xfId="0" applyFont="1" applyBorder="1" applyAlignment="1">
      <alignment horizontal="left" vertical="center" wrapText="1"/>
    </xf>
    <xf numFmtId="0" fontId="45" fillId="0" borderId="32" xfId="0" applyFont="1" applyBorder="1" applyAlignment="1">
      <alignment horizontal="left" vertical="center" wrapText="1"/>
    </xf>
    <xf numFmtId="0" fontId="48" fillId="0" borderId="22" xfId="0" applyFont="1" applyBorder="1" applyAlignment="1">
      <alignment horizontal="center" vertical="center" wrapText="1" readingOrder="1"/>
    </xf>
    <xf numFmtId="0" fontId="48" fillId="0" borderId="23" xfId="0" applyFont="1" applyBorder="1" applyAlignment="1">
      <alignment horizontal="left" vertical="center" wrapText="1" readingOrder="1"/>
    </xf>
    <xf numFmtId="0" fontId="48" fillId="0" borderId="25" xfId="0" applyFont="1" applyBorder="1" applyAlignment="1">
      <alignment horizontal="left" vertical="center" wrapText="1" readingOrder="1"/>
    </xf>
    <xf numFmtId="0" fontId="48" fillId="0" borderId="24" xfId="0" applyFont="1" applyBorder="1" applyAlignment="1">
      <alignment horizontal="left" vertical="center" wrapText="1" readingOrder="1"/>
    </xf>
    <xf numFmtId="0" fontId="41" fillId="0" borderId="26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4" fillId="12" borderId="22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48" fillId="10" borderId="34" xfId="0" applyFont="1" applyFill="1" applyBorder="1" applyAlignment="1">
      <alignment horizontal="center" vertical="center"/>
    </xf>
    <xf numFmtId="0" fontId="48" fillId="10" borderId="35" xfId="0" applyFont="1" applyFill="1" applyBorder="1" applyAlignment="1">
      <alignment horizontal="center" vertical="center"/>
    </xf>
    <xf numFmtId="0" fontId="48" fillId="10" borderId="36" xfId="0" applyFont="1" applyFill="1" applyBorder="1" applyAlignment="1">
      <alignment horizontal="center" vertical="center"/>
    </xf>
    <xf numFmtId="0" fontId="48" fillId="0" borderId="22" xfId="0" applyFont="1" applyBorder="1" applyAlignment="1">
      <alignment horizontal="left" vertical="center" wrapText="1" readingOrder="1"/>
    </xf>
    <xf numFmtId="0" fontId="44" fillId="0" borderId="34" xfId="0" applyFont="1" applyBorder="1" applyAlignment="1">
      <alignment vertical="top" wrapText="1" readingOrder="1"/>
    </xf>
    <xf numFmtId="0" fontId="44" fillId="0" borderId="36" xfId="0" applyFont="1" applyBorder="1" applyAlignment="1">
      <alignment vertical="top" wrapText="1" readingOrder="1"/>
    </xf>
    <xf numFmtId="0" fontId="48" fillId="0" borderId="25" xfId="0" applyFont="1" applyBorder="1" applyAlignment="1">
      <alignment horizontal="center" vertical="center" wrapText="1" readingOrder="1"/>
    </xf>
    <xf numFmtId="0" fontId="48" fillId="0" borderId="22" xfId="0" applyFont="1" applyBorder="1" applyAlignment="1">
      <alignment vertical="top" wrapText="1" readingOrder="1"/>
    </xf>
    <xf numFmtId="0" fontId="44" fillId="0" borderId="22" xfId="0" applyFont="1" applyBorder="1" applyAlignment="1">
      <alignment vertical="top" wrapText="1" readingOrder="1"/>
    </xf>
    <xf numFmtId="0" fontId="48" fillId="0" borderId="26" xfId="0" applyFont="1" applyBorder="1" applyAlignment="1">
      <alignment horizontal="left" vertical="top"/>
    </xf>
    <xf numFmtId="0" fontId="48" fillId="0" borderId="27" xfId="0" applyFont="1" applyBorder="1" applyAlignment="1">
      <alignment horizontal="left" vertical="top"/>
    </xf>
    <xf numFmtId="0" fontId="48" fillId="0" borderId="28" xfId="0" applyFont="1" applyBorder="1" applyAlignment="1">
      <alignment horizontal="left" vertical="top"/>
    </xf>
    <xf numFmtId="0" fontId="51" fillId="0" borderId="26" xfId="0" applyFont="1" applyBorder="1" applyAlignment="1">
      <alignment vertical="top" wrapText="1" readingOrder="1"/>
    </xf>
    <xf numFmtId="0" fontId="51" fillId="0" borderId="28" xfId="0" applyFont="1" applyBorder="1" applyAlignment="1">
      <alignment vertical="top" wrapText="1" readingOrder="1"/>
    </xf>
    <xf numFmtId="0" fontId="48" fillId="13" borderId="34" xfId="0" applyFont="1" applyFill="1" applyBorder="1" applyAlignment="1">
      <alignment horizontal="left" vertical="center"/>
    </xf>
    <xf numFmtId="0" fontId="48" fillId="13" borderId="35" xfId="0" applyFont="1" applyFill="1" applyBorder="1" applyAlignment="1">
      <alignment horizontal="left" vertical="center"/>
    </xf>
    <xf numFmtId="0" fontId="48" fillId="13" borderId="36" xfId="0" applyFont="1" applyFill="1" applyBorder="1" applyAlignment="1">
      <alignment horizontal="left" vertical="center"/>
    </xf>
    <xf numFmtId="0" fontId="48" fillId="0" borderId="34" xfId="0" applyFont="1" applyBorder="1" applyAlignment="1">
      <alignment horizontal="left" vertical="center" wrapText="1" readingOrder="1"/>
    </xf>
    <xf numFmtId="0" fontId="48" fillId="0" borderId="35" xfId="0" applyFont="1" applyBorder="1" applyAlignment="1">
      <alignment horizontal="left" vertical="center" wrapText="1" readingOrder="1"/>
    </xf>
    <xf numFmtId="0" fontId="48" fillId="0" borderId="36" xfId="0" applyFont="1" applyBorder="1" applyAlignment="1">
      <alignment horizontal="left" vertical="center" wrapText="1" readingOrder="1"/>
    </xf>
    <xf numFmtId="0" fontId="44" fillId="0" borderId="1" xfId="0" applyFont="1" applyBorder="1" applyAlignment="1">
      <alignment vertical="center"/>
    </xf>
    <xf numFmtId="0" fontId="48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8" fillId="0" borderId="22" xfId="0" applyFont="1" applyBorder="1" applyAlignment="1">
      <alignment vertical="top"/>
    </xf>
    <xf numFmtId="0" fontId="48" fillId="0" borderId="22" xfId="0" applyFont="1" applyBorder="1" applyAlignment="1">
      <alignment horizontal="left" vertical="top"/>
    </xf>
    <xf numFmtId="0" fontId="51" fillId="0" borderId="22" xfId="0" applyFont="1" applyBorder="1" applyAlignment="1">
      <alignment vertical="top" wrapText="1" readingOrder="1"/>
    </xf>
    <xf numFmtId="0" fontId="33" fillId="0" borderId="34" xfId="0" applyFont="1" applyBorder="1" applyAlignment="1">
      <alignment horizontal="center" vertical="center" wrapText="1" readingOrder="1"/>
    </xf>
    <xf numFmtId="0" fontId="33" fillId="0" borderId="35" xfId="0" applyFont="1" applyBorder="1" applyAlignment="1">
      <alignment horizontal="center" vertical="center" wrapText="1" readingOrder="1"/>
    </xf>
    <xf numFmtId="0" fontId="33" fillId="0" borderId="36" xfId="0" applyFont="1" applyBorder="1" applyAlignment="1">
      <alignment horizontal="center" vertical="center" wrapText="1" readingOrder="1"/>
    </xf>
    <xf numFmtId="0" fontId="48" fillId="0" borderId="34" xfId="0" applyFont="1" applyBorder="1" applyAlignment="1">
      <alignment horizontal="left" vertical="top"/>
    </xf>
    <xf numFmtId="0" fontId="48" fillId="0" borderId="35" xfId="0" applyFont="1" applyBorder="1" applyAlignment="1">
      <alignment horizontal="left" vertical="top"/>
    </xf>
    <xf numFmtId="0" fontId="48" fillId="0" borderId="36" xfId="0" applyFont="1" applyBorder="1" applyAlignment="1">
      <alignment horizontal="left" vertical="top"/>
    </xf>
    <xf numFmtId="0" fontId="48" fillId="0" borderId="31" xfId="0" applyFont="1" applyBorder="1" applyAlignment="1">
      <alignment horizontal="left" vertical="center" wrapText="1" readingOrder="1"/>
    </xf>
    <xf numFmtId="0" fontId="48" fillId="0" borderId="32" xfId="0" applyFont="1" applyBorder="1" applyAlignment="1">
      <alignment horizontal="left" vertical="center" wrapText="1" readingOrder="1"/>
    </xf>
    <xf numFmtId="0" fontId="48" fillId="0" borderId="33" xfId="0" applyFont="1" applyBorder="1" applyAlignment="1">
      <alignment horizontal="left" vertical="center" wrapText="1" readingOrder="1"/>
    </xf>
    <xf numFmtId="0" fontId="48" fillId="13" borderId="34" xfId="0" applyFont="1" applyFill="1" applyBorder="1" applyAlignment="1">
      <alignment horizontal="left" vertical="center" wrapText="1"/>
    </xf>
    <xf numFmtId="0" fontId="48" fillId="13" borderId="35" xfId="0" applyFont="1" applyFill="1" applyBorder="1" applyAlignment="1">
      <alignment horizontal="left" vertical="center" wrapText="1"/>
    </xf>
    <xf numFmtId="0" fontId="48" fillId="13" borderId="36" xfId="0" applyFont="1" applyFill="1" applyBorder="1" applyAlignment="1">
      <alignment horizontal="left" vertical="center" wrapText="1"/>
    </xf>
    <xf numFmtId="0" fontId="44" fillId="9" borderId="34" xfId="0" applyFont="1" applyFill="1" applyBorder="1" applyAlignment="1">
      <alignment horizontal="left" vertical="center" wrapText="1" readingOrder="1"/>
    </xf>
    <xf numFmtId="0" fontId="44" fillId="9" borderId="36" xfId="0" applyFont="1" applyFill="1" applyBorder="1" applyAlignment="1">
      <alignment horizontal="left" vertical="center" wrapText="1" readingOrder="1"/>
    </xf>
    <xf numFmtId="0" fontId="44" fillId="9" borderId="22" xfId="0" applyFont="1" applyFill="1" applyBorder="1" applyAlignment="1">
      <alignment horizontal="center" vertical="center" wrapText="1"/>
    </xf>
    <xf numFmtId="0" fontId="48" fillId="10" borderId="22" xfId="0" applyFont="1" applyFill="1" applyBorder="1" applyAlignment="1">
      <alignment horizontal="center" vertical="center"/>
    </xf>
    <xf numFmtId="0" fontId="51" fillId="0" borderId="34" xfId="0" applyFont="1" applyBorder="1" applyAlignment="1">
      <alignment vertical="top" wrapText="1" readingOrder="1"/>
    </xf>
    <xf numFmtId="0" fontId="51" fillId="0" borderId="36" xfId="0" applyFont="1" applyBorder="1" applyAlignment="1">
      <alignment vertical="top" wrapText="1" readingOrder="1"/>
    </xf>
    <xf numFmtId="0" fontId="44" fillId="0" borderId="34" xfId="0" applyFont="1" applyBorder="1" applyAlignment="1">
      <alignment horizontal="left" vertical="center" wrapText="1"/>
    </xf>
    <xf numFmtId="0" fontId="48" fillId="0" borderId="35" xfId="0" applyFont="1" applyBorder="1" applyAlignment="1">
      <alignment horizontal="left" vertical="center" wrapText="1"/>
    </xf>
    <xf numFmtId="0" fontId="48" fillId="0" borderId="36" xfId="0" applyFont="1" applyBorder="1" applyAlignment="1">
      <alignment horizontal="left" vertical="center" wrapText="1"/>
    </xf>
    <xf numFmtId="0" fontId="36" fillId="0" borderId="22" xfId="0" applyFont="1" applyBorder="1" applyAlignment="1">
      <alignment horizontal="center" vertical="top" wrapText="1"/>
    </xf>
    <xf numFmtId="0" fontId="48" fillId="0" borderId="34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left" vertical="center" wrapText="1"/>
    </xf>
    <xf numFmtId="0" fontId="44" fillId="0" borderId="36" xfId="0" applyFont="1" applyBorder="1" applyAlignment="1">
      <alignment horizontal="left" vertical="center" wrapText="1"/>
    </xf>
    <xf numFmtId="0" fontId="61" fillId="0" borderId="34" xfId="0" applyFont="1" applyBorder="1" applyAlignment="1">
      <alignment horizontal="left" vertical="top"/>
    </xf>
    <xf numFmtId="0" fontId="61" fillId="0" borderId="35" xfId="0" applyFont="1" applyBorder="1" applyAlignment="1">
      <alignment horizontal="left" vertical="top"/>
    </xf>
    <xf numFmtId="0" fontId="61" fillId="0" borderId="36" xfId="0" applyFont="1" applyBorder="1" applyAlignment="1">
      <alignment horizontal="left" vertical="top"/>
    </xf>
    <xf numFmtId="0" fontId="33" fillId="0" borderId="34" xfId="0" applyFont="1" applyBorder="1" applyAlignment="1">
      <alignment horizontal="left" vertical="center" wrapText="1" readingOrder="1"/>
    </xf>
    <xf numFmtId="0" fontId="33" fillId="0" borderId="35" xfId="0" applyFont="1" applyBorder="1" applyAlignment="1">
      <alignment horizontal="left" vertical="center" wrapText="1" readingOrder="1"/>
    </xf>
    <xf numFmtId="0" fontId="33" fillId="0" borderId="36" xfId="0" applyFont="1" applyBorder="1" applyAlignment="1">
      <alignment horizontal="left" vertical="center" wrapText="1" readingOrder="1"/>
    </xf>
    <xf numFmtId="0" fontId="61" fillId="0" borderId="34" xfId="0" applyFont="1" applyBorder="1" applyAlignment="1">
      <alignment horizontal="left" vertical="top" wrapText="1" readingOrder="1"/>
    </xf>
    <xf numFmtId="0" fontId="61" fillId="0" borderId="35" xfId="0" applyFont="1" applyBorder="1" applyAlignment="1">
      <alignment horizontal="left" vertical="top" wrapText="1" readingOrder="1"/>
    </xf>
    <xf numFmtId="0" fontId="61" fillId="0" borderId="36" xfId="0" applyFont="1" applyBorder="1" applyAlignment="1">
      <alignment horizontal="left" vertical="top" wrapText="1" readingOrder="1"/>
    </xf>
    <xf numFmtId="0" fontId="67" fillId="16" borderId="34" xfId="0" applyFont="1" applyFill="1" applyBorder="1" applyAlignment="1">
      <alignment horizontal="left" vertical="top" wrapText="1" readingOrder="1"/>
    </xf>
    <xf numFmtId="0" fontId="67" fillId="16" borderId="36" xfId="0" applyFont="1" applyFill="1" applyBorder="1" applyAlignment="1">
      <alignment horizontal="left" vertical="top" wrapText="1" readingOrder="1"/>
    </xf>
    <xf numFmtId="0" fontId="61" fillId="0" borderId="22" xfId="0" applyFont="1" applyBorder="1" applyAlignment="1">
      <alignment horizontal="left" vertical="top" wrapText="1" readingOrder="1"/>
    </xf>
    <xf numFmtId="0" fontId="67" fillId="16" borderId="22" xfId="0" applyFont="1" applyFill="1" applyBorder="1" applyAlignment="1">
      <alignment horizontal="left" vertical="top" wrapText="1" readingOrder="1"/>
    </xf>
    <xf numFmtId="0" fontId="66" fillId="16" borderId="27" xfId="0" applyFont="1" applyFill="1" applyBorder="1" applyAlignment="1">
      <alignment horizontal="left" vertical="center" wrapText="1" readingOrder="1"/>
    </xf>
    <xf numFmtId="0" fontId="66" fillId="16" borderId="28" xfId="0" applyFont="1" applyFill="1" applyBorder="1" applyAlignment="1">
      <alignment horizontal="left" vertical="center" wrapText="1" readingOrder="1"/>
    </xf>
    <xf numFmtId="0" fontId="66" fillId="16" borderId="32" xfId="0" applyFont="1" applyFill="1" applyBorder="1" applyAlignment="1">
      <alignment horizontal="left" vertical="center" wrapText="1" readingOrder="1"/>
    </xf>
    <xf numFmtId="0" fontId="66" fillId="16" borderId="33" xfId="0" applyFont="1" applyFill="1" applyBorder="1" applyAlignment="1">
      <alignment horizontal="left" vertical="center" wrapText="1" readingOrder="1"/>
    </xf>
    <xf numFmtId="0" fontId="44" fillId="0" borderId="34" xfId="0" applyFont="1" applyBorder="1" applyAlignment="1">
      <alignment horizontal="left" vertical="top" wrapText="1" readingOrder="1"/>
    </xf>
    <xf numFmtId="0" fontId="44" fillId="0" borderId="36" xfId="0" applyFont="1" applyBorder="1" applyAlignment="1">
      <alignment horizontal="left" vertical="top" wrapText="1" readingOrder="1"/>
    </xf>
    <xf numFmtId="0" fontId="68" fillId="16" borderId="34" xfId="0" applyFont="1" applyFill="1" applyBorder="1" applyAlignment="1">
      <alignment vertical="top" wrapText="1" readingOrder="1"/>
    </xf>
    <xf numFmtId="0" fontId="68" fillId="16" borderId="36" xfId="0" applyFont="1" applyFill="1" applyBorder="1" applyAlignment="1">
      <alignment vertical="top" wrapText="1" readingOrder="1"/>
    </xf>
    <xf numFmtId="0" fontId="68" fillId="16" borderId="34" xfId="0" applyFont="1" applyFill="1" applyBorder="1" applyAlignment="1">
      <alignment horizontal="left" vertical="top" wrapText="1" readingOrder="1"/>
    </xf>
    <xf numFmtId="0" fontId="68" fillId="16" borderId="36" xfId="0" applyFont="1" applyFill="1" applyBorder="1" applyAlignment="1">
      <alignment horizontal="left" vertical="top" wrapText="1" readingOrder="1"/>
    </xf>
    <xf numFmtId="0" fontId="66" fillId="16" borderId="26" xfId="0" applyFont="1" applyFill="1" applyBorder="1" applyAlignment="1">
      <alignment horizontal="left" vertical="center" wrapText="1" readingOrder="1"/>
    </xf>
    <xf numFmtId="0" fontId="66" fillId="16" borderId="31" xfId="0" applyFont="1" applyFill="1" applyBorder="1" applyAlignment="1">
      <alignment horizontal="left" vertical="center" wrapText="1" readingOrder="1"/>
    </xf>
    <xf numFmtId="0" fontId="66" fillId="16" borderId="29" xfId="0" applyFont="1" applyFill="1" applyBorder="1" applyAlignment="1">
      <alignment horizontal="left" vertical="center" wrapText="1" readingOrder="1"/>
    </xf>
    <xf numFmtId="0" fontId="66" fillId="16" borderId="1" xfId="0" applyFont="1" applyFill="1" applyBorder="1" applyAlignment="1">
      <alignment horizontal="left" vertical="center" wrapText="1" readingOrder="1"/>
    </xf>
    <xf numFmtId="0" fontId="66" fillId="16" borderId="30" xfId="0" applyFont="1" applyFill="1" applyBorder="1" applyAlignment="1">
      <alignment horizontal="left" vertical="center" wrapText="1" readingOrder="1"/>
    </xf>
    <xf numFmtId="0" fontId="67" fillId="16" borderId="35" xfId="0" applyFont="1" applyFill="1" applyBorder="1" applyAlignment="1">
      <alignment horizontal="left" vertical="top" wrapText="1" readingOrder="1"/>
    </xf>
    <xf numFmtId="0" fontId="70" fillId="16" borderId="34" xfId="0" applyFont="1" applyFill="1" applyBorder="1" applyAlignment="1">
      <alignment vertical="top" wrapText="1" readingOrder="1"/>
    </xf>
    <xf numFmtId="0" fontId="44" fillId="9" borderId="34" xfId="0" applyFont="1" applyFill="1" applyBorder="1" applyAlignment="1">
      <alignment horizontal="left" vertical="center" wrapText="1"/>
    </xf>
    <xf numFmtId="0" fontId="44" fillId="9" borderId="35" xfId="0" applyFont="1" applyFill="1" applyBorder="1" applyAlignment="1">
      <alignment horizontal="left" vertical="center" wrapText="1"/>
    </xf>
    <xf numFmtId="0" fontId="44" fillId="9" borderId="36" xfId="0" applyFont="1" applyFill="1" applyBorder="1" applyAlignment="1">
      <alignment horizontal="left" vertical="center" wrapText="1"/>
    </xf>
    <xf numFmtId="0" fontId="44" fillId="12" borderId="34" xfId="0" applyFont="1" applyFill="1" applyBorder="1" applyAlignment="1">
      <alignment horizontal="center" vertical="center" wrapText="1"/>
    </xf>
    <xf numFmtId="0" fontId="44" fillId="12" borderId="35" xfId="0" applyFont="1" applyFill="1" applyBorder="1" applyAlignment="1">
      <alignment horizontal="center" vertical="center" wrapText="1"/>
    </xf>
    <xf numFmtId="0" fontId="44" fillId="12" borderId="36" xfId="0" applyFont="1" applyFill="1" applyBorder="1" applyAlignment="1">
      <alignment horizontal="center" vertical="center" wrapText="1"/>
    </xf>
    <xf numFmtId="0" fontId="44" fillId="9" borderId="34" xfId="0" applyFont="1" applyFill="1" applyBorder="1" applyAlignment="1">
      <alignment horizontal="center" vertical="center" wrapText="1"/>
    </xf>
    <xf numFmtId="0" fontId="44" fillId="9" borderId="35" xfId="0" applyFont="1" applyFill="1" applyBorder="1" applyAlignment="1">
      <alignment horizontal="center" vertical="center" wrapText="1"/>
    </xf>
    <xf numFmtId="0" fontId="44" fillId="9" borderId="36" xfId="0" applyFont="1" applyFill="1" applyBorder="1" applyAlignment="1">
      <alignment horizontal="center" vertical="center" wrapText="1"/>
    </xf>
    <xf numFmtId="0" fontId="48" fillId="0" borderId="34" xfId="0" applyFont="1" applyBorder="1" applyAlignment="1">
      <alignment vertical="top" wrapText="1" readingOrder="1"/>
    </xf>
    <xf numFmtId="0" fontId="48" fillId="0" borderId="35" xfId="0" applyFont="1" applyBorder="1" applyAlignment="1">
      <alignment vertical="top" wrapText="1" readingOrder="1"/>
    </xf>
    <xf numFmtId="0" fontId="48" fillId="0" borderId="36" xfId="0" applyFont="1" applyBorder="1" applyAlignment="1">
      <alignment vertical="top" wrapText="1" readingOrder="1"/>
    </xf>
    <xf numFmtId="0" fontId="41" fillId="0" borderId="34" xfId="0" applyFont="1" applyBorder="1" applyAlignment="1">
      <alignment horizontal="left"/>
    </xf>
    <xf numFmtId="0" fontId="41" fillId="0" borderId="35" xfId="0" applyFont="1" applyBorder="1" applyAlignment="1">
      <alignment horizontal="left"/>
    </xf>
    <xf numFmtId="0" fontId="41" fillId="0" borderId="36" xfId="0" applyFont="1" applyBorder="1" applyAlignment="1">
      <alignment horizontal="left"/>
    </xf>
    <xf numFmtId="0" fontId="48" fillId="0" borderId="27" xfId="0" applyFont="1" applyBorder="1" applyAlignment="1">
      <alignment horizontal="left" vertical="center"/>
    </xf>
    <xf numFmtId="0" fontId="44" fillId="0" borderId="27" xfId="0" applyFont="1" applyBorder="1" applyAlignment="1">
      <alignment horizontal="left" vertical="center"/>
    </xf>
    <xf numFmtId="0" fontId="36" fillId="0" borderId="22" xfId="0" applyFont="1" applyBorder="1" applyAlignment="1">
      <alignment vertical="top" wrapText="1" readingOrder="1"/>
    </xf>
    <xf numFmtId="0" fontId="36" fillId="0" borderId="26" xfId="0" applyFont="1" applyBorder="1" applyAlignment="1">
      <alignment vertical="top" wrapText="1" readingOrder="1"/>
    </xf>
    <xf numFmtId="0" fontId="36" fillId="0" borderId="28" xfId="0" applyFont="1" applyBorder="1" applyAlignment="1">
      <alignment vertical="top" wrapText="1" readingOrder="1"/>
    </xf>
    <xf numFmtId="0" fontId="41" fillId="0" borderId="22" xfId="0" applyFont="1" applyBorder="1" applyAlignment="1">
      <alignment horizontal="left"/>
    </xf>
    <xf numFmtId="0" fontId="8" fillId="8" borderId="5" xfId="0" applyFont="1" applyFill="1" applyBorder="1" applyAlignment="1">
      <alignment horizontal="center" vertical="top" wrapText="1" readingOrder="1"/>
    </xf>
    <xf numFmtId="0" fontId="2" fillId="0" borderId="20" xfId="0" applyFont="1" applyBorder="1"/>
    <xf numFmtId="0" fontId="2" fillId="0" borderId="21" xfId="0" applyFont="1" applyBorder="1"/>
    <xf numFmtId="0" fontId="15" fillId="8" borderId="5" xfId="0" applyFont="1" applyFill="1" applyBorder="1" applyAlignment="1">
      <alignment horizontal="center" vertical="top" wrapText="1" readingOrder="1"/>
    </xf>
    <xf numFmtId="0" fontId="15" fillId="8" borderId="16" xfId="0" applyFont="1" applyFill="1" applyBorder="1" applyAlignment="1">
      <alignment horizontal="center" vertical="top" wrapText="1" readingOrder="1"/>
    </xf>
    <xf numFmtId="0" fontId="8" fillId="8" borderId="16" xfId="0" applyFont="1" applyFill="1" applyBorder="1" applyAlignment="1">
      <alignment horizontal="center" vertical="top" wrapText="1" readingOrder="1"/>
    </xf>
    <xf numFmtId="0" fontId="2" fillId="0" borderId="19" xfId="0" applyFont="1" applyBorder="1"/>
    <xf numFmtId="0" fontId="14" fillId="8" borderId="16" xfId="0" applyFont="1" applyFill="1" applyBorder="1" applyAlignment="1">
      <alignment horizontal="left" vertical="top" wrapText="1" readingOrder="1"/>
    </xf>
    <xf numFmtId="0" fontId="22" fillId="8" borderId="7" xfId="0" applyFont="1" applyFill="1" applyBorder="1" applyAlignment="1">
      <alignment horizontal="left" vertical="top" wrapText="1" readingOrder="1"/>
    </xf>
    <xf numFmtId="0" fontId="2" fillId="0" borderId="8" xfId="0" applyFont="1" applyBorder="1"/>
    <xf numFmtId="0" fontId="7" fillId="8" borderId="16" xfId="0" applyFont="1" applyFill="1" applyBorder="1" applyAlignment="1">
      <alignment horizontal="left" vertical="top" wrapText="1" readingOrder="1"/>
    </xf>
    <xf numFmtId="0" fontId="22" fillId="8" borderId="16" xfId="0" applyFont="1" applyFill="1" applyBorder="1" applyAlignment="1">
      <alignment horizontal="left" vertical="top" wrapText="1" readingOrder="1"/>
    </xf>
    <xf numFmtId="0" fontId="14" fillId="8" borderId="5" xfId="0" applyFont="1" applyFill="1" applyBorder="1" applyAlignment="1">
      <alignment horizontal="left" vertical="top" wrapText="1" readingOrder="1"/>
    </xf>
    <xf numFmtId="0" fontId="6" fillId="0" borderId="2" xfId="0" applyFont="1" applyBorder="1" applyAlignment="1">
      <alignment horizontal="left" vertical="top"/>
    </xf>
    <xf numFmtId="0" fontId="2" fillId="0" borderId="2" xfId="0" applyFont="1" applyBorder="1"/>
    <xf numFmtId="0" fontId="14" fillId="3" borderId="17" xfId="0" applyFont="1" applyFill="1" applyBorder="1" applyAlignment="1">
      <alignment vertical="top"/>
    </xf>
    <xf numFmtId="0" fontId="2" fillId="0" borderId="18" xfId="0" applyFont="1" applyBorder="1"/>
    <xf numFmtId="0" fontId="8" fillId="8" borderId="20" xfId="0" applyFont="1" applyFill="1" applyBorder="1" applyAlignment="1">
      <alignment horizontal="center" vertical="top" wrapText="1" readingOrder="1"/>
    </xf>
    <xf numFmtId="0" fontId="7" fillId="8" borderId="3" xfId="0" applyFont="1" applyFill="1" applyBorder="1" applyAlignment="1">
      <alignment horizontal="center" vertical="top" wrapText="1" readingOrder="1"/>
    </xf>
    <xf numFmtId="0" fontId="2" fillId="0" borderId="4" xfId="0" applyFont="1" applyBorder="1"/>
    <xf numFmtId="0" fontId="22" fillId="8" borderId="3" xfId="0" applyFont="1" applyFill="1" applyBorder="1" applyAlignment="1">
      <alignment horizontal="left" vertical="top" wrapText="1" readingOrder="1"/>
    </xf>
    <xf numFmtId="2" fontId="8" fillId="8" borderId="16" xfId="0" applyNumberFormat="1" applyFont="1" applyFill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1" fillId="0" borderId="0" xfId="0" applyFont="1" applyAlignment="1">
      <alignment horizontal="right"/>
    </xf>
    <xf numFmtId="0" fontId="0" fillId="0" borderId="0" xfId="0"/>
    <xf numFmtId="0" fontId="4" fillId="0" borderId="0" xfId="0" applyFont="1" applyAlignment="1">
      <alignment vertical="top"/>
    </xf>
    <xf numFmtId="0" fontId="41" fillId="0" borderId="32" xfId="0" quotePrefix="1" applyFont="1" applyBorder="1" applyAlignment="1">
      <alignment horizontal="center" vertical="center"/>
    </xf>
  </cellXfs>
  <cellStyles count="1">
    <cellStyle name="Normal" xfId="0" builtinId="0"/>
  </cellStyles>
  <dxfs count="2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9999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customschemas.google.com/relationships/workbookmetadata" Target="metadata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134470</xdr:colOff>
      <xdr:row>0</xdr:row>
      <xdr:rowOff>26894</xdr:rowOff>
    </xdr:from>
    <xdr:to>
      <xdr:col>27</xdr:col>
      <xdr:colOff>21178</xdr:colOff>
      <xdr:row>0</xdr:row>
      <xdr:rowOff>698464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6AA628-FE68-4DB9-970C-3B895EA9D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6870" y="26894"/>
          <a:ext cx="1464496" cy="671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17929</xdr:colOff>
      <xdr:row>0</xdr:row>
      <xdr:rowOff>44823</xdr:rowOff>
    </xdr:from>
    <xdr:to>
      <xdr:col>22</xdr:col>
      <xdr:colOff>541131</xdr:colOff>
      <xdr:row>0</xdr:row>
      <xdr:rowOff>716393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4809FE-E722-4DF5-A8CB-DBFBC3FE4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8353" y="44823"/>
          <a:ext cx="1464496" cy="6715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17929</xdr:colOff>
      <xdr:row>0</xdr:row>
      <xdr:rowOff>44823</xdr:rowOff>
    </xdr:from>
    <xdr:to>
      <xdr:col>22</xdr:col>
      <xdr:colOff>464931</xdr:colOff>
      <xdr:row>0</xdr:row>
      <xdr:rowOff>716393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E6F366-BB9C-413C-BDC1-AA82B735A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9249" y="44823"/>
          <a:ext cx="1468082" cy="67157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24</xdr:row>
      <xdr:rowOff>304800</xdr:rowOff>
    </xdr:to>
    <xdr:sp macro="" textlink="">
      <xdr:nvSpPr>
        <xdr:cNvPr id="13316" name="AutoShape 4">
          <a:extLst>
            <a:ext uri="{FF2B5EF4-FFF2-40B4-BE49-F238E27FC236}">
              <a16:creationId xmlns:a16="http://schemas.microsoft.com/office/drawing/2014/main" id="{051CE6C3-FD6C-1B5D-0D55-17D4635B428C}"/>
            </a:ext>
          </a:extLst>
        </xdr:cNvPr>
        <xdr:cNvSpPr>
          <a:spLocks noChangeAspect="1" noChangeArrowheads="1"/>
        </xdr:cNvSpPr>
      </xdr:nvSpPr>
      <xdr:spPr bwMode="auto">
        <a:xfrm>
          <a:off x="19019520" y="524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304800</xdr:colOff>
      <xdr:row>25</xdr:row>
      <xdr:rowOff>304800</xdr:rowOff>
    </xdr:to>
    <xdr:sp macro="" textlink="">
      <xdr:nvSpPr>
        <xdr:cNvPr id="13317" name="AutoShape 5">
          <a:extLst>
            <a:ext uri="{FF2B5EF4-FFF2-40B4-BE49-F238E27FC236}">
              <a16:creationId xmlns:a16="http://schemas.microsoft.com/office/drawing/2014/main" id="{8F0CF200-16CA-D229-7406-47320A90ED80}"/>
            </a:ext>
          </a:extLst>
        </xdr:cNvPr>
        <xdr:cNvSpPr>
          <a:spLocks noChangeAspect="1" noChangeArrowheads="1"/>
        </xdr:cNvSpPr>
      </xdr:nvSpPr>
      <xdr:spPr bwMode="auto">
        <a:xfrm>
          <a:off x="20208240" y="57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304800</xdr:colOff>
      <xdr:row>25</xdr:row>
      <xdr:rowOff>304800</xdr:rowOff>
    </xdr:to>
    <xdr:sp macro="" textlink="">
      <xdr:nvSpPr>
        <xdr:cNvPr id="13318" name="AutoShape 6">
          <a:extLst>
            <a:ext uri="{FF2B5EF4-FFF2-40B4-BE49-F238E27FC236}">
              <a16:creationId xmlns:a16="http://schemas.microsoft.com/office/drawing/2014/main" id="{C24D8FEA-8C80-902D-99D5-8B7EAFCB5885}"/>
            </a:ext>
          </a:extLst>
        </xdr:cNvPr>
        <xdr:cNvSpPr>
          <a:spLocks noChangeAspect="1" noChangeArrowheads="1"/>
        </xdr:cNvSpPr>
      </xdr:nvSpPr>
      <xdr:spPr bwMode="auto">
        <a:xfrm>
          <a:off x="20208240" y="57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35859</xdr:colOff>
      <xdr:row>0</xdr:row>
      <xdr:rowOff>62754</xdr:rowOff>
    </xdr:from>
    <xdr:to>
      <xdr:col>23</xdr:col>
      <xdr:colOff>559061</xdr:colOff>
      <xdr:row>0</xdr:row>
      <xdr:rowOff>720989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428CA-6945-465D-B37D-8E6AE5182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22479" y="62754"/>
          <a:ext cx="1468082" cy="6582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80681</xdr:colOff>
      <xdr:row>0</xdr:row>
      <xdr:rowOff>44823</xdr:rowOff>
    </xdr:from>
    <xdr:to>
      <xdr:col>23</xdr:col>
      <xdr:colOff>3248</xdr:colOff>
      <xdr:row>0</xdr:row>
      <xdr:rowOff>703058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AACF43-D5B6-4B81-BFC7-B4984D5D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1105" y="44823"/>
          <a:ext cx="1464496" cy="6715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80681</xdr:colOff>
      <xdr:row>0</xdr:row>
      <xdr:rowOff>44823</xdr:rowOff>
    </xdr:from>
    <xdr:to>
      <xdr:col>23</xdr:col>
      <xdr:colOff>3247</xdr:colOff>
      <xdr:row>0</xdr:row>
      <xdr:rowOff>703058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A36424-367F-45FC-B5E5-40E837E6C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2001" y="44823"/>
          <a:ext cx="1469427" cy="6582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847725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09A1-927C-48B5-9247-A0594985FCC6}">
  <sheetPr codeName="Sheet2">
    <tabColor rgb="FFFF9999"/>
  </sheetPr>
  <dimension ref="A1:AH868"/>
  <sheetViews>
    <sheetView tabSelected="1" zoomScale="85" zoomScaleNormal="85" workbookViewId="0">
      <selection activeCell="M15" sqref="M15"/>
    </sheetView>
  </sheetViews>
  <sheetFormatPr defaultColWidth="14.44140625" defaultRowHeight="14.4" customHeight="1" x14ac:dyDescent="0.25"/>
  <cols>
    <col min="1" max="1" width="1.44140625" style="78" customWidth="1"/>
    <col min="2" max="2" width="4.33203125" style="78" customWidth="1"/>
    <col min="3" max="3" width="11.5546875" style="78" customWidth="1"/>
    <col min="4" max="5" width="4.33203125" style="78" customWidth="1"/>
    <col min="6" max="6" width="11.88671875" style="78" customWidth="1"/>
    <col min="7" max="7" width="6.5546875" style="78" customWidth="1"/>
    <col min="8" max="8" width="17.6640625" style="78" customWidth="1"/>
    <col min="9" max="9" width="5" style="78" customWidth="1"/>
    <col min="10" max="10" width="6.44140625" style="78" customWidth="1"/>
    <col min="11" max="11" width="4.33203125" style="78" customWidth="1"/>
    <col min="12" max="12" width="21.44140625" style="78" customWidth="1"/>
    <col min="13" max="13" width="30.44140625" style="78" customWidth="1"/>
    <col min="14" max="15" width="16.33203125" style="78" customWidth="1"/>
    <col min="16" max="16" width="41.6640625" style="78" customWidth="1"/>
    <col min="17" max="17" width="14.5546875" style="78" customWidth="1"/>
    <col min="18" max="19" width="64.44140625" style="78" customWidth="1"/>
    <col min="20" max="20" width="11" style="78" bestFit="1" customWidth="1"/>
    <col min="21" max="21" width="6.44140625" style="78" customWidth="1"/>
    <col min="22" max="22" width="4.109375" style="78" customWidth="1"/>
    <col min="23" max="23" width="6.44140625" style="78" customWidth="1"/>
    <col min="24" max="24" width="12.5546875" style="78" customWidth="1"/>
    <col min="25" max="25" width="119.88671875" style="78" hidden="1" customWidth="1"/>
    <col min="26" max="27" width="17.6640625" style="78" hidden="1" customWidth="1"/>
    <col min="28" max="34" width="8.6640625" style="78" customWidth="1"/>
    <col min="35" max="16384" width="14.44140625" style="78"/>
  </cols>
  <sheetData>
    <row r="1" spans="1:34" ht="60" customHeight="1" x14ac:dyDescent="0.25">
      <c r="A1" s="217" t="s">
        <v>86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77"/>
      <c r="Z1" s="77"/>
      <c r="AA1" s="77"/>
      <c r="AB1" s="77"/>
      <c r="AC1" s="77"/>
      <c r="AD1" s="77"/>
      <c r="AE1" s="77"/>
      <c r="AF1" s="77"/>
      <c r="AG1" s="77"/>
      <c r="AH1" s="77"/>
    </row>
    <row r="2" spans="1:34" ht="14.4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1"/>
      <c r="R2" s="81"/>
      <c r="S2" s="81"/>
      <c r="T2" s="82"/>
      <c r="U2" s="83"/>
      <c r="V2" s="83"/>
      <c r="W2" s="83"/>
      <c r="X2" s="81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ht="14.4" customHeight="1" x14ac:dyDescent="0.3">
      <c r="A3" s="84"/>
      <c r="B3" s="218" t="s">
        <v>87</v>
      </c>
      <c r="C3" s="219"/>
      <c r="D3" s="220" t="s">
        <v>418</v>
      </c>
      <c r="E3" s="220"/>
      <c r="F3" s="220"/>
      <c r="G3" s="220"/>
      <c r="H3" s="220"/>
      <c r="I3" s="220"/>
      <c r="J3" s="220"/>
      <c r="K3" s="116"/>
      <c r="L3" s="116"/>
      <c r="M3" s="87"/>
      <c r="N3" s="87"/>
      <c r="O3" s="87"/>
      <c r="P3" s="88"/>
      <c r="T3" s="86" t="s">
        <v>0</v>
      </c>
      <c r="U3" s="89" t="b">
        <v>0</v>
      </c>
      <c r="V3" s="90" t="s">
        <v>1</v>
      </c>
      <c r="W3" s="89" t="b">
        <v>0</v>
      </c>
      <c r="X3" s="90" t="s">
        <v>2</v>
      </c>
      <c r="Y3" s="77"/>
      <c r="Z3" s="77"/>
      <c r="AA3" s="77"/>
      <c r="AB3" s="77"/>
      <c r="AC3" s="77"/>
      <c r="AD3" s="77"/>
      <c r="AE3" s="77"/>
      <c r="AF3" s="77"/>
      <c r="AG3" s="77"/>
      <c r="AH3" s="77"/>
    </row>
    <row r="4" spans="1:34" ht="14.4" customHeight="1" x14ac:dyDescent="0.25">
      <c r="A4" s="84"/>
      <c r="B4" s="85"/>
      <c r="C4" s="85"/>
      <c r="D4" s="85"/>
      <c r="E4" s="85"/>
      <c r="F4" s="87"/>
      <c r="G4" s="87"/>
      <c r="H4" s="77"/>
      <c r="I4" s="77"/>
      <c r="J4" s="86"/>
      <c r="K4" s="86"/>
      <c r="L4" s="86"/>
      <c r="M4" s="87"/>
      <c r="N4" s="87"/>
      <c r="O4" s="87"/>
      <c r="P4" s="88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</row>
    <row r="5" spans="1:34" ht="14.4" customHeight="1" x14ac:dyDescent="0.25">
      <c r="A5" s="77"/>
      <c r="B5" s="221" t="s">
        <v>6</v>
      </c>
      <c r="C5" s="221"/>
      <c r="D5" s="89" t="b">
        <v>0</v>
      </c>
      <c r="E5" s="222" t="s">
        <v>7</v>
      </c>
      <c r="F5" s="222"/>
      <c r="G5" s="93" t="b">
        <v>1</v>
      </c>
      <c r="H5" s="77" t="s">
        <v>8</v>
      </c>
      <c r="I5" s="77"/>
      <c r="J5" s="77"/>
      <c r="K5" s="77"/>
      <c r="L5" s="77"/>
      <c r="M5" s="91"/>
      <c r="N5" s="91"/>
      <c r="O5" s="91"/>
      <c r="P5" s="94"/>
      <c r="R5" s="77"/>
      <c r="S5" s="86" t="s">
        <v>4</v>
      </c>
      <c r="T5" s="259"/>
      <c r="U5" s="259"/>
      <c r="V5" s="259"/>
      <c r="W5" s="259"/>
      <c r="X5" s="259"/>
      <c r="Y5" s="77"/>
      <c r="Z5" s="77"/>
      <c r="AA5" s="77"/>
      <c r="AB5" s="77"/>
      <c r="AC5" s="77"/>
      <c r="AD5" s="77"/>
      <c r="AE5" s="77"/>
      <c r="AF5" s="77"/>
      <c r="AG5" s="77"/>
      <c r="AH5" s="77"/>
    </row>
    <row r="6" spans="1:34" ht="14.4" customHeight="1" x14ac:dyDescent="0.25">
      <c r="A6" s="77"/>
      <c r="B6" s="85"/>
      <c r="C6" s="85"/>
      <c r="D6" s="77"/>
      <c r="E6" s="92"/>
      <c r="F6" s="92"/>
      <c r="G6" s="95"/>
      <c r="H6" s="77"/>
      <c r="I6" s="77"/>
      <c r="J6" s="77"/>
      <c r="K6" s="77"/>
      <c r="L6" s="77"/>
      <c r="M6" s="91"/>
      <c r="N6" s="91"/>
      <c r="O6" s="91"/>
      <c r="P6" s="94"/>
      <c r="R6" s="86"/>
      <c r="S6" s="86" t="s">
        <v>5</v>
      </c>
      <c r="T6" s="259"/>
      <c r="U6" s="259"/>
      <c r="V6" s="259"/>
      <c r="W6" s="259"/>
      <c r="X6" s="259"/>
      <c r="Y6" s="77"/>
      <c r="Z6" s="77"/>
      <c r="AA6" s="77"/>
      <c r="AB6" s="77"/>
      <c r="AC6" s="77"/>
      <c r="AD6" s="77"/>
      <c r="AE6" s="77"/>
      <c r="AF6" s="77"/>
      <c r="AG6" s="77"/>
      <c r="AH6" s="77"/>
    </row>
    <row r="7" spans="1:34" ht="14.4" customHeight="1" x14ac:dyDescent="0.25">
      <c r="A7" s="77"/>
      <c r="B7" s="251" t="s">
        <v>88</v>
      </c>
      <c r="C7" s="251"/>
      <c r="D7" s="89" t="b">
        <v>1</v>
      </c>
      <c r="E7" s="222" t="s">
        <v>89</v>
      </c>
      <c r="F7" s="222"/>
      <c r="G7" s="93" t="b">
        <v>0</v>
      </c>
      <c r="H7" s="77" t="s">
        <v>90</v>
      </c>
      <c r="I7" s="77"/>
      <c r="J7" s="77"/>
      <c r="K7" s="77"/>
      <c r="L7" s="77"/>
      <c r="M7" s="91"/>
      <c r="N7" s="91"/>
      <c r="O7" s="91"/>
      <c r="P7" s="94"/>
      <c r="R7" s="86"/>
      <c r="S7" s="77"/>
      <c r="T7" s="222"/>
      <c r="U7" s="222"/>
      <c r="V7" s="222"/>
      <c r="W7" s="222"/>
      <c r="X7" s="222"/>
      <c r="Y7" s="77"/>
      <c r="Z7" s="77"/>
      <c r="AA7" s="77"/>
      <c r="AB7" s="77"/>
      <c r="AC7" s="77"/>
      <c r="AD7" s="77"/>
      <c r="AE7" s="77"/>
      <c r="AF7" s="77"/>
      <c r="AG7" s="77"/>
      <c r="AH7" s="77"/>
    </row>
    <row r="8" spans="1:34" ht="14.4" customHeight="1" x14ac:dyDescent="0.25">
      <c r="A8" s="77"/>
      <c r="B8" s="85"/>
      <c r="C8" s="85"/>
      <c r="D8" s="77"/>
      <c r="E8" s="92"/>
      <c r="F8" s="92"/>
      <c r="G8" s="95"/>
      <c r="H8" s="77"/>
      <c r="I8" s="77"/>
      <c r="J8" s="77"/>
      <c r="K8" s="77"/>
      <c r="L8" s="77"/>
      <c r="M8" s="91"/>
      <c r="N8" s="91"/>
      <c r="O8" s="91"/>
      <c r="P8" s="94"/>
      <c r="R8" s="86"/>
      <c r="S8" s="86" t="s">
        <v>9</v>
      </c>
      <c r="T8" s="259"/>
      <c r="U8" s="259"/>
      <c r="V8" s="259"/>
      <c r="W8" s="259"/>
      <c r="X8" s="259"/>
      <c r="Y8" s="77"/>
      <c r="Z8" s="77"/>
      <c r="AA8" s="77"/>
      <c r="AB8" s="77"/>
      <c r="AC8" s="77"/>
      <c r="AD8" s="77"/>
      <c r="AE8" s="77"/>
      <c r="AF8" s="77"/>
      <c r="AG8" s="77"/>
      <c r="AH8" s="77"/>
    </row>
    <row r="9" spans="1:34" ht="14.4" customHeight="1" x14ac:dyDescent="0.25">
      <c r="A9" s="77"/>
      <c r="B9" s="221" t="s">
        <v>10</v>
      </c>
      <c r="C9" s="221"/>
      <c r="D9" s="93" t="b">
        <v>1</v>
      </c>
      <c r="E9" s="251" t="s">
        <v>13</v>
      </c>
      <c r="F9" s="251"/>
      <c r="G9" s="77"/>
      <c r="H9" s="77"/>
      <c r="I9" s="77"/>
      <c r="J9" s="77"/>
      <c r="K9" s="77"/>
      <c r="L9" s="77"/>
      <c r="M9" s="91"/>
      <c r="N9" s="91"/>
      <c r="O9" s="91"/>
      <c r="P9" s="87"/>
      <c r="R9" s="96"/>
      <c r="S9" s="96" t="str">
        <f>D3</f>
        <v>ATP Group</v>
      </c>
      <c r="T9" s="260"/>
      <c r="U9" s="260"/>
      <c r="V9" s="260"/>
      <c r="W9" s="260"/>
      <c r="X9" s="260"/>
      <c r="Y9" s="77"/>
      <c r="Z9" s="77"/>
      <c r="AA9" s="77"/>
      <c r="AB9" s="77"/>
      <c r="AC9" s="77"/>
      <c r="AD9" s="77"/>
      <c r="AE9" s="77"/>
      <c r="AF9" s="77"/>
      <c r="AG9" s="77"/>
      <c r="AH9" s="77"/>
    </row>
    <row r="10" spans="1:34" ht="14.4" customHeight="1" x14ac:dyDescent="0.25">
      <c r="A10" s="77"/>
      <c r="B10" s="85"/>
      <c r="C10" s="85"/>
      <c r="D10" s="95"/>
      <c r="E10" s="90"/>
      <c r="F10" s="90"/>
      <c r="G10" s="77"/>
      <c r="H10" s="77"/>
      <c r="I10" s="77"/>
      <c r="J10" s="77"/>
      <c r="K10" s="77"/>
      <c r="L10" s="77"/>
      <c r="M10" s="91"/>
      <c r="N10" s="91"/>
      <c r="O10" s="91"/>
      <c r="P10" s="87"/>
      <c r="R10" s="96"/>
      <c r="S10" s="96" t="s">
        <v>12</v>
      </c>
      <c r="T10" s="260"/>
      <c r="U10" s="260"/>
      <c r="V10" s="260"/>
      <c r="W10" s="260"/>
      <c r="X10" s="260"/>
      <c r="Y10" s="77"/>
      <c r="Z10" s="77"/>
      <c r="AA10" s="77"/>
      <c r="AB10" s="77"/>
      <c r="AC10" s="77"/>
      <c r="AD10" s="77"/>
      <c r="AE10" s="77"/>
      <c r="AF10" s="77"/>
      <c r="AG10" s="77"/>
      <c r="AH10" s="77"/>
    </row>
    <row r="11" spans="1:34" ht="14.4" customHeight="1" x14ac:dyDescent="0.25">
      <c r="A11" s="77"/>
      <c r="B11" s="85"/>
      <c r="C11" s="85"/>
      <c r="D11" s="95"/>
      <c r="E11" s="156" t="b">
        <v>1</v>
      </c>
      <c r="F11" s="91" t="s">
        <v>91</v>
      </c>
      <c r="G11" s="77"/>
      <c r="H11" s="77"/>
      <c r="I11" s="77"/>
      <c r="J11" s="77"/>
      <c r="K11" s="77"/>
      <c r="L11" s="77"/>
      <c r="M11" s="91"/>
      <c r="N11" s="91"/>
      <c r="O11" s="91"/>
      <c r="P11" s="87"/>
      <c r="R11" s="96"/>
      <c r="S11" s="96"/>
      <c r="T11" s="161"/>
      <c r="U11" s="161"/>
      <c r="V11" s="161"/>
      <c r="W11" s="161"/>
      <c r="X11" s="161"/>
      <c r="Y11" s="77"/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t="14.4" customHeight="1" x14ac:dyDescent="0.25">
      <c r="A12" s="77"/>
      <c r="B12" s="85"/>
      <c r="C12" s="85"/>
      <c r="D12" s="95"/>
      <c r="E12" s="95"/>
      <c r="G12" s="89" t="b">
        <v>0</v>
      </c>
      <c r="H12" s="91" t="s">
        <v>92</v>
      </c>
      <c r="I12" s="89" t="b">
        <v>1</v>
      </c>
      <c r="J12" s="77" t="s">
        <v>93</v>
      </c>
      <c r="K12" s="77"/>
      <c r="L12" s="77"/>
      <c r="M12" s="91"/>
      <c r="N12" s="91"/>
      <c r="O12" s="91"/>
      <c r="P12" s="87"/>
      <c r="R12" s="96"/>
      <c r="Y12" s="77"/>
      <c r="Z12" s="77"/>
      <c r="AA12" s="77"/>
      <c r="AB12" s="77"/>
      <c r="AC12" s="77"/>
      <c r="AD12" s="77"/>
      <c r="AE12" s="77"/>
      <c r="AF12" s="77"/>
      <c r="AG12" s="77"/>
      <c r="AH12" s="77"/>
    </row>
    <row r="13" spans="1:34" ht="14.4" customHeight="1" x14ac:dyDescent="0.25">
      <c r="A13" s="77"/>
      <c r="B13" s="85"/>
      <c r="C13" s="85"/>
      <c r="D13" s="95"/>
      <c r="E13" s="95"/>
      <c r="F13" s="91"/>
      <c r="G13" s="89" t="b">
        <v>1</v>
      </c>
      <c r="H13" s="77" t="s">
        <v>94</v>
      </c>
      <c r="I13" s="77"/>
      <c r="J13" s="77"/>
      <c r="K13" s="77"/>
      <c r="L13" s="77"/>
      <c r="M13" s="91"/>
      <c r="N13" s="91"/>
      <c r="O13" s="91"/>
      <c r="P13" s="87"/>
      <c r="R13" s="96"/>
      <c r="Y13" s="77"/>
      <c r="Z13" s="77"/>
      <c r="AA13" s="77"/>
      <c r="AB13" s="77"/>
      <c r="AC13" s="77"/>
      <c r="AD13" s="77"/>
      <c r="AE13" s="77"/>
      <c r="AF13" s="77"/>
      <c r="AG13" s="77"/>
      <c r="AH13" s="77"/>
    </row>
    <row r="14" spans="1:34" ht="14.4" customHeight="1" x14ac:dyDescent="0.25">
      <c r="A14" s="77"/>
      <c r="B14" s="85"/>
      <c r="C14" s="85"/>
      <c r="D14" s="95"/>
      <c r="E14" s="95"/>
      <c r="F14" s="91"/>
      <c r="G14" s="77"/>
      <c r="H14" s="77"/>
      <c r="I14" s="77"/>
      <c r="J14" s="77"/>
      <c r="K14" s="77"/>
      <c r="L14" s="77"/>
      <c r="M14" s="91"/>
      <c r="N14" s="91"/>
      <c r="O14" s="91"/>
      <c r="P14" s="87"/>
      <c r="R14" s="96"/>
      <c r="Y14" s="77"/>
      <c r="Z14" s="77"/>
      <c r="AA14" s="77"/>
      <c r="AB14" s="77"/>
      <c r="AC14" s="77"/>
      <c r="AD14" s="77"/>
      <c r="AE14" s="77"/>
      <c r="AF14" s="77"/>
      <c r="AG14" s="77"/>
      <c r="AH14" s="77"/>
    </row>
    <row r="15" spans="1:34" ht="14.4" customHeight="1" x14ac:dyDescent="0.25">
      <c r="A15" s="77"/>
      <c r="B15" s="85"/>
      <c r="C15" s="85"/>
      <c r="D15" s="95"/>
      <c r="E15" s="93" t="b">
        <v>0</v>
      </c>
      <c r="F15" s="91" t="s">
        <v>95</v>
      </c>
      <c r="G15" s="77"/>
      <c r="H15" s="77"/>
      <c r="I15" s="89" t="b">
        <v>0</v>
      </c>
      <c r="J15" s="77" t="s">
        <v>93</v>
      </c>
      <c r="K15" s="77"/>
      <c r="L15" s="77"/>
      <c r="M15" s="91"/>
      <c r="N15" s="91"/>
      <c r="O15" s="91"/>
      <c r="P15" s="87"/>
      <c r="R15" s="96"/>
      <c r="Y15" s="77"/>
      <c r="Z15" s="77"/>
      <c r="AA15" s="77"/>
      <c r="AB15" s="77"/>
      <c r="AC15" s="77"/>
      <c r="AD15" s="77"/>
      <c r="AE15" s="77"/>
      <c r="AF15" s="77"/>
      <c r="AG15" s="77"/>
      <c r="AH15" s="77"/>
    </row>
    <row r="16" spans="1:34" ht="14.4" customHeight="1" x14ac:dyDescent="0.25">
      <c r="A16" s="77"/>
      <c r="B16" s="85"/>
      <c r="C16" s="85"/>
      <c r="D16" s="95"/>
      <c r="E16" s="95"/>
      <c r="F16" s="91"/>
      <c r="G16" s="89" t="b">
        <v>0</v>
      </c>
      <c r="H16" s="77" t="s">
        <v>17</v>
      </c>
      <c r="I16" s="77"/>
      <c r="J16" s="77"/>
      <c r="K16" s="77"/>
      <c r="L16" s="77"/>
      <c r="M16" s="91"/>
      <c r="N16" s="91"/>
      <c r="O16" s="91"/>
      <c r="P16" s="87"/>
      <c r="R16" s="96"/>
      <c r="Y16" s="77"/>
      <c r="Z16" s="77"/>
      <c r="AA16" s="77"/>
      <c r="AB16" s="77"/>
      <c r="AC16" s="77"/>
      <c r="AD16" s="77"/>
      <c r="AE16" s="77"/>
      <c r="AF16" s="77"/>
      <c r="AG16" s="77"/>
      <c r="AH16" s="77"/>
    </row>
    <row r="17" spans="1:34" ht="14.4" customHeight="1" x14ac:dyDescent="0.25">
      <c r="A17" s="77"/>
      <c r="B17" s="85"/>
      <c r="C17" s="85"/>
      <c r="D17" s="95"/>
      <c r="E17" s="95"/>
      <c r="F17" s="91"/>
      <c r="G17" s="89" t="b">
        <v>0</v>
      </c>
      <c r="H17" s="77" t="s">
        <v>96</v>
      </c>
      <c r="I17" s="77"/>
      <c r="J17" s="77"/>
      <c r="K17" s="77"/>
      <c r="L17" s="77"/>
      <c r="M17" s="91"/>
      <c r="N17" s="91"/>
      <c r="O17" s="91"/>
      <c r="P17" s="87"/>
      <c r="R17" s="96"/>
      <c r="Y17" s="77"/>
      <c r="Z17" s="77"/>
      <c r="AA17" s="77"/>
      <c r="AB17" s="77"/>
      <c r="AC17" s="77"/>
      <c r="AD17" s="77"/>
      <c r="AE17" s="77"/>
      <c r="AF17" s="77"/>
      <c r="AG17" s="77"/>
      <c r="AH17" s="77"/>
    </row>
    <row r="18" spans="1:34" ht="14.4" customHeight="1" x14ac:dyDescent="0.25">
      <c r="A18" s="77"/>
      <c r="B18" s="85"/>
      <c r="C18" s="85"/>
      <c r="D18" s="95"/>
      <c r="E18" s="95"/>
      <c r="F18" s="91"/>
      <c r="G18" s="89" t="b">
        <v>0</v>
      </c>
      <c r="H18" s="77" t="s">
        <v>18</v>
      </c>
      <c r="I18" s="77"/>
      <c r="J18" s="77"/>
      <c r="K18" s="77"/>
      <c r="L18" s="77"/>
      <c r="M18" s="91"/>
      <c r="N18" s="91"/>
      <c r="O18" s="91"/>
      <c r="P18" s="87"/>
      <c r="R18" s="96"/>
      <c r="Y18" s="77"/>
      <c r="Z18" s="77"/>
      <c r="AA18" s="77"/>
      <c r="AB18" s="77"/>
      <c r="AC18" s="77"/>
      <c r="AD18" s="77"/>
      <c r="AE18" s="77"/>
      <c r="AF18" s="77"/>
      <c r="AG18" s="77"/>
      <c r="AH18" s="77"/>
    </row>
    <row r="19" spans="1:34" ht="14.4" customHeight="1" x14ac:dyDescent="0.25">
      <c r="A19" s="77"/>
      <c r="B19" s="85"/>
      <c r="C19" s="85"/>
      <c r="D19" s="95"/>
      <c r="E19" s="95"/>
      <c r="F19" s="91"/>
      <c r="G19" s="89" t="b">
        <v>0</v>
      </c>
      <c r="H19" s="77" t="s">
        <v>19</v>
      </c>
      <c r="I19" s="77"/>
      <c r="J19" s="77"/>
      <c r="K19" s="77"/>
      <c r="L19" s="77"/>
      <c r="M19" s="91"/>
      <c r="N19" s="91"/>
      <c r="O19" s="91"/>
      <c r="P19" s="87"/>
      <c r="R19" s="96"/>
      <c r="Y19" s="77"/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t="14.4" customHeight="1" x14ac:dyDescent="0.25">
      <c r="A20" s="77"/>
      <c r="B20" s="85"/>
      <c r="C20" s="85"/>
      <c r="D20" s="95"/>
      <c r="E20" s="95"/>
      <c r="F20" s="91"/>
      <c r="G20" s="77"/>
      <c r="H20" s="77"/>
      <c r="I20" s="77"/>
      <c r="J20" s="77"/>
      <c r="K20" s="77"/>
      <c r="L20" s="77"/>
      <c r="M20" s="91"/>
      <c r="N20" s="91"/>
      <c r="O20" s="91"/>
      <c r="P20" s="87"/>
      <c r="R20" s="96"/>
      <c r="Y20" s="77"/>
      <c r="Z20" s="77"/>
      <c r="AA20" s="77"/>
      <c r="AB20" s="77"/>
      <c r="AC20" s="77"/>
      <c r="AD20" s="77"/>
      <c r="AE20" s="77"/>
      <c r="AF20" s="77"/>
      <c r="AG20" s="77"/>
      <c r="AH20" s="77"/>
    </row>
    <row r="21" spans="1:34" ht="14.4" customHeight="1" x14ac:dyDescent="0.25">
      <c r="A21" s="77"/>
      <c r="B21" s="85"/>
      <c r="C21" s="85"/>
      <c r="D21" s="95"/>
      <c r="E21" s="93" t="b">
        <v>0</v>
      </c>
      <c r="F21" s="91" t="s">
        <v>97</v>
      </c>
      <c r="I21" s="89" t="b">
        <v>0</v>
      </c>
      <c r="J21" s="77" t="s">
        <v>93</v>
      </c>
      <c r="K21" s="77"/>
      <c r="L21" s="77"/>
      <c r="M21" s="91"/>
      <c r="N21" s="91"/>
      <c r="O21" s="91"/>
      <c r="P21" s="87"/>
      <c r="R21" s="96"/>
      <c r="Y21" s="77"/>
      <c r="Z21" s="77"/>
      <c r="AA21" s="77"/>
      <c r="AB21" s="77"/>
      <c r="AC21" s="77"/>
      <c r="AD21" s="77"/>
      <c r="AE21" s="77"/>
      <c r="AF21" s="77"/>
      <c r="AG21" s="77"/>
      <c r="AH21" s="77"/>
    </row>
    <row r="22" spans="1:34" ht="14.4" customHeight="1" x14ac:dyDescent="0.25">
      <c r="A22" s="77"/>
      <c r="B22" s="85"/>
      <c r="C22" s="85"/>
      <c r="D22" s="95"/>
      <c r="E22" s="95"/>
      <c r="F22" s="91"/>
      <c r="G22" s="89" t="b">
        <v>0</v>
      </c>
      <c r="H22" s="77" t="s">
        <v>17</v>
      </c>
      <c r="I22" s="77"/>
      <c r="J22" s="77"/>
      <c r="K22" s="77"/>
      <c r="L22" s="77"/>
      <c r="M22" s="91"/>
      <c r="N22" s="91"/>
      <c r="O22" s="91"/>
      <c r="P22" s="87"/>
      <c r="R22" s="96"/>
      <c r="Y22" s="77"/>
      <c r="Z22" s="77"/>
      <c r="AA22" s="77"/>
      <c r="AB22" s="77"/>
      <c r="AC22" s="77"/>
      <c r="AD22" s="77"/>
      <c r="AE22" s="77"/>
      <c r="AF22" s="77"/>
      <c r="AG22" s="77"/>
      <c r="AH22" s="77"/>
    </row>
    <row r="23" spans="1:34" ht="14.4" customHeight="1" x14ac:dyDescent="0.25">
      <c r="A23" s="77"/>
      <c r="B23" s="85"/>
      <c r="C23" s="85"/>
      <c r="D23" s="95"/>
      <c r="E23" s="95"/>
      <c r="F23" s="91"/>
      <c r="G23" s="89" t="b">
        <v>0</v>
      </c>
      <c r="H23" s="77" t="s">
        <v>18</v>
      </c>
      <c r="I23" s="77"/>
      <c r="J23" s="77"/>
      <c r="K23" s="77"/>
      <c r="L23" s="77"/>
      <c r="M23" s="91"/>
      <c r="N23" s="91"/>
      <c r="O23" s="91"/>
      <c r="P23" s="87"/>
      <c r="R23" s="96"/>
      <c r="Y23" s="77"/>
      <c r="Z23" s="77"/>
      <c r="AA23" s="77"/>
      <c r="AB23" s="77"/>
      <c r="AC23" s="77"/>
      <c r="AD23" s="77"/>
      <c r="AE23" s="77"/>
      <c r="AF23" s="77"/>
      <c r="AG23" s="77"/>
      <c r="AH23" s="77"/>
    </row>
    <row r="24" spans="1:34" ht="14.4" customHeight="1" x14ac:dyDescent="0.25">
      <c r="A24" s="77"/>
      <c r="B24" s="85"/>
      <c r="C24" s="85"/>
      <c r="D24" s="95"/>
      <c r="E24" s="95"/>
      <c r="F24" s="91"/>
      <c r="G24" s="89" t="b">
        <v>0</v>
      </c>
      <c r="H24" s="77" t="s">
        <v>19</v>
      </c>
      <c r="I24" s="77"/>
      <c r="J24" s="77"/>
      <c r="K24" s="77"/>
      <c r="L24" s="77"/>
      <c r="M24" s="91"/>
      <c r="N24" s="91"/>
      <c r="O24" s="91"/>
      <c r="P24" s="87"/>
      <c r="R24" s="96"/>
      <c r="Y24" s="77"/>
      <c r="Z24" s="77"/>
      <c r="AA24" s="77"/>
      <c r="AB24" s="77"/>
      <c r="AC24" s="77"/>
      <c r="AD24" s="77"/>
      <c r="AE24" s="77"/>
      <c r="AF24" s="77"/>
      <c r="AG24" s="77"/>
      <c r="AH24" s="77"/>
    </row>
    <row r="25" spans="1:34" ht="14.4" customHeight="1" x14ac:dyDescent="0.25">
      <c r="A25" s="77"/>
      <c r="B25" s="85"/>
      <c r="C25" s="85"/>
      <c r="D25" s="95"/>
      <c r="E25" s="95"/>
      <c r="F25" s="91"/>
      <c r="G25" s="77"/>
      <c r="H25" s="77"/>
      <c r="I25" s="77"/>
      <c r="J25" s="77"/>
      <c r="K25" s="77"/>
      <c r="L25" s="77"/>
      <c r="M25" s="91"/>
      <c r="N25" s="91"/>
      <c r="O25" s="91"/>
      <c r="P25" s="87"/>
      <c r="R25" s="96"/>
      <c r="Y25" s="77"/>
      <c r="Z25" s="77"/>
      <c r="AA25" s="77"/>
      <c r="AB25" s="77"/>
      <c r="AC25" s="77"/>
      <c r="AD25" s="77"/>
      <c r="AE25" s="77"/>
      <c r="AF25" s="77"/>
      <c r="AG25" s="77"/>
      <c r="AH25" s="77"/>
    </row>
    <row r="26" spans="1:34" ht="14.4" customHeight="1" x14ac:dyDescent="0.25">
      <c r="A26" s="77"/>
      <c r="B26" s="85"/>
      <c r="C26" s="85"/>
      <c r="D26" s="93" t="b">
        <v>1</v>
      </c>
      <c r="E26" s="256" t="s">
        <v>23</v>
      </c>
      <c r="F26" s="251"/>
      <c r="G26" s="77"/>
      <c r="H26" s="85"/>
      <c r="I26" s="77"/>
      <c r="J26" s="77"/>
      <c r="K26" s="77"/>
      <c r="L26" s="77"/>
      <c r="M26" s="91"/>
      <c r="N26" s="91"/>
      <c r="O26" s="91"/>
      <c r="P26" s="87"/>
      <c r="R26" s="96"/>
      <c r="Y26" s="77"/>
      <c r="Z26" s="77"/>
      <c r="AA26" s="77"/>
      <c r="AB26" s="77"/>
      <c r="AC26" s="77"/>
      <c r="AD26" s="77"/>
      <c r="AE26" s="77"/>
      <c r="AF26" s="77"/>
      <c r="AG26" s="77"/>
      <c r="AH26" s="77"/>
    </row>
    <row r="27" spans="1:34" ht="14.4" customHeight="1" x14ac:dyDescent="0.25">
      <c r="A27" s="77"/>
      <c r="B27" s="77"/>
      <c r="C27" s="77"/>
      <c r="D27" s="77"/>
      <c r="E27" s="77"/>
      <c r="F27" s="77"/>
      <c r="G27" s="91"/>
      <c r="H27" s="91"/>
      <c r="I27" s="91"/>
      <c r="J27" s="77"/>
      <c r="K27" s="77"/>
      <c r="L27" s="77"/>
      <c r="M27" s="77"/>
      <c r="N27" s="77"/>
      <c r="O27" s="77"/>
      <c r="P27" s="91"/>
      <c r="Q27" s="77"/>
      <c r="R27" s="77"/>
      <c r="S27" s="77"/>
      <c r="T27" s="77"/>
      <c r="U27" s="77"/>
      <c r="V27" s="77"/>
      <c r="W27" s="77"/>
      <c r="X27" s="97"/>
      <c r="Y27" s="77"/>
      <c r="Z27" s="77"/>
      <c r="AA27" s="77"/>
      <c r="AB27" s="77"/>
      <c r="AC27" s="77"/>
      <c r="AD27" s="77"/>
      <c r="AE27" s="77"/>
      <c r="AF27" s="77"/>
      <c r="AG27" s="77"/>
      <c r="AH27" s="77"/>
    </row>
    <row r="28" spans="1:34" ht="14.4" customHeight="1" x14ac:dyDescent="0.25">
      <c r="A28" s="77"/>
      <c r="B28" s="264" t="s">
        <v>25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77"/>
      <c r="Z28" s="77"/>
      <c r="AA28" s="77"/>
      <c r="AB28" s="77"/>
      <c r="AC28" s="77"/>
      <c r="AD28" s="77"/>
      <c r="AE28" s="77"/>
      <c r="AF28" s="77"/>
      <c r="AG28" s="77"/>
      <c r="AH28" s="77"/>
    </row>
    <row r="29" spans="1:34" ht="36" customHeight="1" x14ac:dyDescent="0.25">
      <c r="A29" s="77"/>
      <c r="B29" s="265" t="s">
        <v>26</v>
      </c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77"/>
      <c r="Z29" s="77"/>
      <c r="AA29" s="77"/>
      <c r="AB29" s="77"/>
      <c r="AC29" s="77"/>
      <c r="AD29" s="77"/>
      <c r="AE29" s="77"/>
      <c r="AF29" s="77"/>
      <c r="AG29" s="77"/>
      <c r="AH29" s="77"/>
    </row>
    <row r="30" spans="1:34" ht="42" customHeight="1" x14ac:dyDescent="0.25">
      <c r="A30" s="95"/>
      <c r="B30" s="98" t="s">
        <v>27</v>
      </c>
      <c r="C30" s="238" t="s">
        <v>10</v>
      </c>
      <c r="D30" s="239"/>
      <c r="E30" s="239"/>
      <c r="F30" s="239"/>
      <c r="G30" s="240"/>
      <c r="H30" s="236" t="s">
        <v>28</v>
      </c>
      <c r="I30" s="237"/>
      <c r="J30" s="237"/>
      <c r="K30" s="237"/>
      <c r="L30" s="237"/>
      <c r="M30" s="237"/>
      <c r="N30" s="236" t="s">
        <v>29</v>
      </c>
      <c r="O30" s="232"/>
      <c r="P30" s="141" t="s">
        <v>98</v>
      </c>
      <c r="Q30" s="142" t="s">
        <v>30</v>
      </c>
      <c r="R30" s="142" t="s">
        <v>31</v>
      </c>
      <c r="S30" s="142" t="s">
        <v>32</v>
      </c>
      <c r="T30" s="261" t="s">
        <v>33</v>
      </c>
      <c r="U30" s="232"/>
      <c r="V30" s="232"/>
      <c r="W30" s="232"/>
      <c r="X30" s="232"/>
      <c r="Y30" s="164" t="s">
        <v>99</v>
      </c>
      <c r="Z30" s="164" t="s">
        <v>100</v>
      </c>
      <c r="AA30" s="164" t="s">
        <v>101</v>
      </c>
      <c r="AB30" s="95"/>
      <c r="AC30" s="95"/>
      <c r="AD30" s="95"/>
      <c r="AE30" s="95"/>
      <c r="AF30" s="95"/>
      <c r="AG30" s="95"/>
      <c r="AH30" s="95"/>
    </row>
    <row r="31" spans="1:34" ht="240" x14ac:dyDescent="0.25">
      <c r="A31" s="95"/>
      <c r="B31" s="113">
        <v>0</v>
      </c>
      <c r="C31" s="224" t="s">
        <v>102</v>
      </c>
      <c r="D31" s="225"/>
      <c r="E31" s="225"/>
      <c r="F31" s="225"/>
      <c r="G31" s="117" t="s">
        <v>34</v>
      </c>
      <c r="H31" s="224" t="s">
        <v>103</v>
      </c>
      <c r="I31" s="255"/>
      <c r="J31" s="228" t="s">
        <v>91</v>
      </c>
      <c r="K31" s="229"/>
      <c r="L31" s="230"/>
      <c r="M31" s="118" t="s">
        <v>104</v>
      </c>
      <c r="N31" s="226" t="s">
        <v>105</v>
      </c>
      <c r="O31" s="227"/>
      <c r="P31" s="119" t="s">
        <v>106</v>
      </c>
      <c r="Q31" s="114" t="s">
        <v>37</v>
      </c>
      <c r="R31" s="115" t="s">
        <v>107</v>
      </c>
      <c r="S31" s="115" t="s">
        <v>108</v>
      </c>
      <c r="T31" s="252"/>
      <c r="U31" s="253"/>
      <c r="V31" s="253"/>
      <c r="W31" s="253"/>
      <c r="X31" s="254"/>
      <c r="Y31" s="168"/>
      <c r="Z31" s="114"/>
      <c r="AA31" s="168"/>
      <c r="AB31" s="95"/>
      <c r="AC31" s="95"/>
      <c r="AD31" s="95"/>
      <c r="AE31" s="95"/>
      <c r="AF31" s="95"/>
      <c r="AG31" s="95"/>
      <c r="AH31" s="95"/>
    </row>
    <row r="32" spans="1:34" ht="13.95" customHeight="1" x14ac:dyDescent="0.25">
      <c r="A32" s="77"/>
      <c r="B32" s="257">
        <v>1</v>
      </c>
      <c r="C32" s="243" t="s">
        <v>13</v>
      </c>
      <c r="D32" s="244"/>
      <c r="E32" s="244"/>
      <c r="F32" s="245"/>
      <c r="G32" s="187" t="s">
        <v>38</v>
      </c>
      <c r="H32" s="243" t="s">
        <v>109</v>
      </c>
      <c r="I32" s="245"/>
      <c r="J32" s="271" t="s">
        <v>91</v>
      </c>
      <c r="K32" s="272"/>
      <c r="L32" s="268" t="s">
        <v>35</v>
      </c>
      <c r="M32" s="189" t="s">
        <v>110</v>
      </c>
      <c r="N32" s="231" t="s">
        <v>36</v>
      </c>
      <c r="O32" s="232"/>
      <c r="P32" s="99"/>
      <c r="Q32" s="100"/>
      <c r="R32" s="101"/>
      <c r="S32" s="101"/>
      <c r="T32" s="241"/>
      <c r="U32" s="242"/>
      <c r="V32" s="242"/>
      <c r="W32" s="242"/>
      <c r="X32" s="242"/>
      <c r="Y32" s="145"/>
      <c r="Z32" s="100"/>
      <c r="AA32" s="145"/>
      <c r="AB32" s="77"/>
      <c r="AC32" s="77"/>
      <c r="AD32" s="77"/>
      <c r="AE32" s="77"/>
      <c r="AF32" s="77"/>
      <c r="AG32" s="77"/>
      <c r="AH32" s="77"/>
    </row>
    <row r="33" spans="1:34" ht="13.95" customHeight="1" x14ac:dyDescent="0.25">
      <c r="A33" s="77"/>
      <c r="B33" s="258"/>
      <c r="C33" s="246"/>
      <c r="D33" s="247"/>
      <c r="E33" s="247"/>
      <c r="F33" s="248"/>
      <c r="G33" s="187" t="s">
        <v>40</v>
      </c>
      <c r="H33" s="246"/>
      <c r="I33" s="248"/>
      <c r="J33" s="273"/>
      <c r="K33" s="274"/>
      <c r="L33" s="269"/>
      <c r="M33" s="189" t="s">
        <v>111</v>
      </c>
      <c r="N33" s="209" t="s">
        <v>112</v>
      </c>
      <c r="O33" s="210"/>
      <c r="P33" s="99"/>
      <c r="Q33" s="100"/>
      <c r="R33" s="101"/>
      <c r="S33" s="101"/>
      <c r="T33" s="233"/>
      <c r="U33" s="234"/>
      <c r="V33" s="234"/>
      <c r="W33" s="234"/>
      <c r="X33" s="235"/>
      <c r="Y33" s="145"/>
      <c r="Z33" s="100"/>
      <c r="AA33" s="145"/>
      <c r="AB33" s="77"/>
      <c r="AC33" s="77"/>
      <c r="AD33" s="77"/>
      <c r="AE33" s="77"/>
      <c r="AF33" s="77"/>
      <c r="AG33" s="77"/>
      <c r="AH33" s="77"/>
    </row>
    <row r="34" spans="1:34" ht="14.4" customHeight="1" x14ac:dyDescent="0.25">
      <c r="A34" s="77"/>
      <c r="B34" s="258"/>
      <c r="C34" s="246"/>
      <c r="D34" s="247"/>
      <c r="E34" s="247"/>
      <c r="F34" s="248"/>
      <c r="G34" s="187" t="s">
        <v>113</v>
      </c>
      <c r="H34" s="246"/>
      <c r="I34" s="248"/>
      <c r="J34" s="273"/>
      <c r="K34" s="274"/>
      <c r="L34" s="268" t="s">
        <v>114</v>
      </c>
      <c r="M34" s="162" t="s">
        <v>115</v>
      </c>
      <c r="N34" s="231" t="s">
        <v>36</v>
      </c>
      <c r="O34" s="232"/>
      <c r="P34" s="99"/>
      <c r="Q34" s="100"/>
      <c r="R34" s="101"/>
      <c r="S34" s="101"/>
      <c r="T34" s="241"/>
      <c r="U34" s="242"/>
      <c r="V34" s="242"/>
      <c r="W34" s="242"/>
      <c r="X34" s="242"/>
      <c r="Y34" s="145"/>
      <c r="Z34" s="100"/>
      <c r="AA34" s="145"/>
      <c r="AB34" s="77"/>
      <c r="AC34" s="77"/>
      <c r="AD34" s="77"/>
      <c r="AE34" s="77"/>
      <c r="AF34" s="77"/>
      <c r="AG34" s="77"/>
      <c r="AH34" s="77"/>
    </row>
    <row r="35" spans="1:34" ht="14.4" customHeight="1" x14ac:dyDescent="0.25">
      <c r="A35" s="77"/>
      <c r="B35" s="258"/>
      <c r="C35" s="246"/>
      <c r="D35" s="247"/>
      <c r="E35" s="247"/>
      <c r="F35" s="248"/>
      <c r="G35" s="187" t="s">
        <v>116</v>
      </c>
      <c r="H35" s="246"/>
      <c r="I35" s="248"/>
      <c r="J35" s="273"/>
      <c r="K35" s="274"/>
      <c r="L35" s="270"/>
      <c r="M35" s="189" t="s">
        <v>111</v>
      </c>
      <c r="N35" s="209" t="s">
        <v>112</v>
      </c>
      <c r="O35" s="210"/>
      <c r="P35" s="99"/>
      <c r="Q35" s="100"/>
      <c r="R35" s="101"/>
      <c r="S35" s="101"/>
      <c r="T35" s="233"/>
      <c r="U35" s="234"/>
      <c r="V35" s="234"/>
      <c r="W35" s="234"/>
      <c r="X35" s="235"/>
      <c r="Y35" s="145"/>
      <c r="Z35" s="100"/>
      <c r="AA35" s="145"/>
      <c r="AB35" s="77"/>
      <c r="AC35" s="77"/>
      <c r="AD35" s="77"/>
      <c r="AE35" s="77"/>
      <c r="AF35" s="77"/>
      <c r="AG35" s="77"/>
      <c r="AH35" s="77"/>
    </row>
    <row r="36" spans="1:34" ht="27" customHeight="1" x14ac:dyDescent="0.25">
      <c r="A36" s="77"/>
      <c r="B36" s="258"/>
      <c r="C36" s="246"/>
      <c r="D36" s="247"/>
      <c r="E36" s="247"/>
      <c r="F36" s="248"/>
      <c r="G36" s="187" t="s">
        <v>46</v>
      </c>
      <c r="H36" s="246"/>
      <c r="I36" s="248"/>
      <c r="J36" s="273"/>
      <c r="K36" s="274"/>
      <c r="L36" s="269"/>
      <c r="M36" s="189" t="s">
        <v>117</v>
      </c>
      <c r="N36" s="231" t="s">
        <v>53</v>
      </c>
      <c r="O36" s="232"/>
      <c r="P36" s="99"/>
      <c r="Q36" s="100"/>
      <c r="R36" s="101"/>
      <c r="S36" s="101"/>
      <c r="T36" s="233"/>
      <c r="U36" s="234"/>
      <c r="V36" s="234"/>
      <c r="W36" s="234"/>
      <c r="X36" s="235"/>
      <c r="Y36" s="145"/>
      <c r="Z36" s="100"/>
      <c r="AA36" s="145"/>
      <c r="AB36" s="77"/>
      <c r="AC36" s="77"/>
      <c r="AD36" s="77"/>
      <c r="AE36" s="77"/>
      <c r="AF36" s="77"/>
      <c r="AG36" s="77"/>
      <c r="AH36" s="77"/>
    </row>
    <row r="37" spans="1:34" ht="14.4" customHeight="1" x14ac:dyDescent="0.25">
      <c r="A37" s="77"/>
      <c r="B37" s="258"/>
      <c r="C37" s="246"/>
      <c r="D37" s="247"/>
      <c r="E37" s="247"/>
      <c r="F37" s="248"/>
      <c r="G37" s="187" t="s">
        <v>48</v>
      </c>
      <c r="H37" s="246"/>
      <c r="I37" s="248"/>
      <c r="J37" s="275"/>
      <c r="K37" s="276"/>
      <c r="L37" s="186" t="s">
        <v>35</v>
      </c>
      <c r="M37" s="189" t="s">
        <v>118</v>
      </c>
      <c r="N37" s="231" t="s">
        <v>36</v>
      </c>
      <c r="O37" s="232"/>
      <c r="P37" s="99"/>
      <c r="Q37" s="100"/>
      <c r="R37" s="101"/>
      <c r="S37" s="101"/>
      <c r="T37" s="233"/>
      <c r="U37" s="234"/>
      <c r="V37" s="234"/>
      <c r="W37" s="234"/>
      <c r="X37" s="235"/>
      <c r="Y37" s="145"/>
      <c r="Z37" s="100"/>
      <c r="AA37" s="145"/>
      <c r="AB37" s="77"/>
      <c r="AC37" s="77"/>
      <c r="AD37" s="77"/>
      <c r="AE37" s="77"/>
      <c r="AF37" s="77"/>
      <c r="AG37" s="77"/>
      <c r="AH37" s="77"/>
    </row>
    <row r="38" spans="1:34" ht="38.4" customHeight="1" x14ac:dyDescent="0.25">
      <c r="A38" s="77"/>
      <c r="B38" s="258"/>
      <c r="C38" s="246"/>
      <c r="D38" s="247"/>
      <c r="E38" s="247"/>
      <c r="F38" s="248"/>
      <c r="G38" s="187" t="s">
        <v>130</v>
      </c>
      <c r="H38" s="243" t="s">
        <v>131</v>
      </c>
      <c r="I38" s="244"/>
      <c r="J38" s="244"/>
      <c r="K38" s="245"/>
      <c r="L38" s="188" t="s">
        <v>91</v>
      </c>
      <c r="M38" s="190" t="s">
        <v>13</v>
      </c>
      <c r="N38" s="262" t="s">
        <v>69</v>
      </c>
      <c r="O38" s="232"/>
      <c r="P38" s="99"/>
      <c r="Q38" s="100"/>
      <c r="R38" s="101"/>
      <c r="S38" s="101"/>
      <c r="T38" s="241"/>
      <c r="U38" s="242"/>
      <c r="V38" s="242"/>
      <c r="W38" s="242"/>
      <c r="X38" s="242"/>
      <c r="Y38" s="145"/>
      <c r="Z38" s="100"/>
      <c r="AA38" s="145"/>
      <c r="AB38" s="77"/>
      <c r="AC38" s="77"/>
      <c r="AD38" s="77"/>
      <c r="AE38" s="77"/>
      <c r="AF38" s="77"/>
      <c r="AG38" s="77"/>
      <c r="AH38" s="77"/>
    </row>
    <row r="39" spans="1:34" ht="14.4" customHeight="1" x14ac:dyDescent="0.25">
      <c r="A39" s="77"/>
      <c r="B39" s="258"/>
      <c r="C39" s="246"/>
      <c r="D39" s="247"/>
      <c r="E39" s="247"/>
      <c r="F39" s="248"/>
      <c r="G39" s="187" t="s">
        <v>132</v>
      </c>
      <c r="H39" s="243" t="s">
        <v>71</v>
      </c>
      <c r="I39" s="244"/>
      <c r="J39" s="244"/>
      <c r="K39" s="245"/>
      <c r="L39" s="268" t="s">
        <v>91</v>
      </c>
      <c r="M39" s="189" t="s">
        <v>72</v>
      </c>
      <c r="N39" s="231" t="s">
        <v>133</v>
      </c>
      <c r="O39" s="263"/>
      <c r="P39" s="99"/>
      <c r="Q39" s="100"/>
      <c r="R39" s="101"/>
      <c r="S39" s="101"/>
      <c r="T39" s="241"/>
      <c r="U39" s="242"/>
      <c r="V39" s="242"/>
      <c r="W39" s="242"/>
      <c r="X39" s="242"/>
      <c r="Y39" s="145"/>
      <c r="Z39" s="100"/>
      <c r="AA39" s="145"/>
      <c r="AB39" s="77"/>
      <c r="AC39" s="77"/>
      <c r="AD39" s="77"/>
      <c r="AE39" s="77"/>
      <c r="AF39" s="77"/>
      <c r="AG39" s="77"/>
      <c r="AH39" s="77"/>
    </row>
    <row r="40" spans="1:34" ht="27" customHeight="1" x14ac:dyDescent="0.25">
      <c r="A40" s="77"/>
      <c r="B40" s="258"/>
      <c r="C40" s="246"/>
      <c r="D40" s="247"/>
      <c r="E40" s="247"/>
      <c r="F40" s="248"/>
      <c r="G40" s="187" t="s">
        <v>134</v>
      </c>
      <c r="H40" s="246"/>
      <c r="I40" s="247"/>
      <c r="J40" s="247"/>
      <c r="K40" s="248"/>
      <c r="L40" s="269"/>
      <c r="M40" s="189" t="s">
        <v>73</v>
      </c>
      <c r="N40" s="231" t="s">
        <v>135</v>
      </c>
      <c r="O40" s="232"/>
      <c r="P40" s="99"/>
      <c r="Q40" s="100"/>
      <c r="R40" s="101"/>
      <c r="S40" s="101"/>
      <c r="T40" s="241"/>
      <c r="U40" s="242"/>
      <c r="V40" s="242"/>
      <c r="W40" s="242"/>
      <c r="X40" s="242"/>
      <c r="Y40" s="145"/>
      <c r="Z40" s="100"/>
      <c r="AA40" s="145"/>
      <c r="AB40" s="77"/>
      <c r="AC40" s="77"/>
      <c r="AD40" s="77"/>
      <c r="AE40" s="77"/>
      <c r="AF40" s="77"/>
      <c r="AG40" s="77"/>
      <c r="AH40" s="77"/>
    </row>
    <row r="41" spans="1:34" ht="26.4" customHeight="1" x14ac:dyDescent="0.25">
      <c r="A41" s="77"/>
      <c r="B41" s="267">
        <v>2</v>
      </c>
      <c r="C41" s="243" t="s">
        <v>23</v>
      </c>
      <c r="D41" s="244"/>
      <c r="E41" s="244"/>
      <c r="F41" s="245"/>
      <c r="G41" s="163" t="s">
        <v>51</v>
      </c>
      <c r="H41" s="249" t="s">
        <v>136</v>
      </c>
      <c r="I41" s="211" t="s">
        <v>137</v>
      </c>
      <c r="J41" s="211"/>
      <c r="K41" s="211"/>
      <c r="L41" s="208" t="s">
        <v>91</v>
      </c>
      <c r="M41" s="190" t="s">
        <v>138</v>
      </c>
      <c r="N41" s="209" t="s">
        <v>139</v>
      </c>
      <c r="O41" s="210"/>
      <c r="P41" s="99"/>
      <c r="Q41" s="100"/>
      <c r="R41" s="100"/>
      <c r="S41" s="100"/>
      <c r="T41" s="212"/>
      <c r="U41" s="213"/>
      <c r="V41" s="213"/>
      <c r="W41" s="213"/>
      <c r="X41" s="214"/>
      <c r="Y41" s="145"/>
      <c r="Z41" s="100"/>
      <c r="AA41" s="145"/>
      <c r="AB41" s="77"/>
      <c r="AC41" s="77"/>
      <c r="AD41" s="77"/>
      <c r="AE41" s="77"/>
      <c r="AF41" s="77"/>
      <c r="AG41" s="77"/>
      <c r="AH41" s="77"/>
    </row>
    <row r="42" spans="1:34" ht="27" customHeight="1" x14ac:dyDescent="0.25">
      <c r="A42" s="77"/>
      <c r="B42" s="267"/>
      <c r="C42" s="246"/>
      <c r="D42" s="247"/>
      <c r="E42" s="247"/>
      <c r="F42" s="248"/>
      <c r="G42" s="163" t="s">
        <v>52</v>
      </c>
      <c r="H42" s="250"/>
      <c r="I42" s="211"/>
      <c r="J42" s="211"/>
      <c r="K42" s="211"/>
      <c r="L42" s="223"/>
      <c r="M42" s="191" t="s">
        <v>140</v>
      </c>
      <c r="N42" s="209" t="s">
        <v>141</v>
      </c>
      <c r="O42" s="210"/>
      <c r="P42" s="99"/>
      <c r="Q42" s="100"/>
      <c r="R42" s="100"/>
      <c r="S42" s="100"/>
      <c r="T42" s="212"/>
      <c r="U42" s="213"/>
      <c r="V42" s="213"/>
      <c r="W42" s="213"/>
      <c r="X42" s="214"/>
      <c r="Y42" s="145"/>
      <c r="Z42" s="100"/>
      <c r="AA42" s="145"/>
      <c r="AB42" s="77"/>
      <c r="AC42" s="77"/>
      <c r="AD42" s="77"/>
      <c r="AE42" s="77"/>
      <c r="AF42" s="77"/>
      <c r="AG42" s="77"/>
      <c r="AH42" s="77"/>
    </row>
    <row r="43" spans="1:34" ht="27" customHeight="1" x14ac:dyDescent="0.25">
      <c r="A43" s="77"/>
      <c r="B43" s="267"/>
      <c r="C43" s="246"/>
      <c r="D43" s="247"/>
      <c r="E43" s="247"/>
      <c r="F43" s="248"/>
      <c r="G43" s="163" t="s">
        <v>60</v>
      </c>
      <c r="H43" s="250"/>
      <c r="I43" s="206" t="s">
        <v>142</v>
      </c>
      <c r="J43" s="207"/>
      <c r="K43" s="208"/>
      <c r="L43" s="215" t="s">
        <v>91</v>
      </c>
      <c r="M43" s="216"/>
      <c r="N43" s="209" t="s">
        <v>143</v>
      </c>
      <c r="O43" s="210"/>
      <c r="P43" s="99"/>
      <c r="Q43" s="100"/>
      <c r="R43" s="100"/>
      <c r="S43" s="100"/>
      <c r="T43" s="165"/>
      <c r="U43" s="166"/>
      <c r="V43" s="166"/>
      <c r="W43" s="166"/>
      <c r="X43" s="167"/>
      <c r="Y43" s="145"/>
      <c r="Z43" s="100"/>
      <c r="AA43" s="145"/>
      <c r="AB43" s="77"/>
      <c r="AC43" s="77"/>
      <c r="AD43" s="77"/>
      <c r="AE43" s="77"/>
      <c r="AF43" s="77"/>
      <c r="AG43" s="77"/>
      <c r="AH43" s="77"/>
    </row>
    <row r="44" spans="1:34" ht="12" x14ac:dyDescent="0.25">
      <c r="A44" s="77"/>
      <c r="B44" s="267"/>
      <c r="C44" s="246"/>
      <c r="D44" s="247"/>
      <c r="E44" s="247"/>
      <c r="F44" s="248"/>
      <c r="G44" s="163" t="s">
        <v>67</v>
      </c>
      <c r="H44" s="211" t="s">
        <v>71</v>
      </c>
      <c r="I44" s="211" t="s">
        <v>137</v>
      </c>
      <c r="J44" s="211"/>
      <c r="K44" s="211"/>
      <c r="L44" s="192" t="s">
        <v>91</v>
      </c>
      <c r="M44" s="191" t="s">
        <v>144</v>
      </c>
      <c r="N44" s="209" t="s">
        <v>145</v>
      </c>
      <c r="O44" s="210"/>
      <c r="P44" s="99"/>
      <c r="Q44" s="100"/>
      <c r="R44" s="100"/>
      <c r="S44" s="100"/>
      <c r="T44" s="212"/>
      <c r="U44" s="213"/>
      <c r="V44" s="213"/>
      <c r="W44" s="213"/>
      <c r="X44" s="214"/>
      <c r="Y44" s="145"/>
      <c r="Z44" s="100"/>
      <c r="AA44" s="145"/>
      <c r="AB44" s="77"/>
      <c r="AC44" s="77"/>
      <c r="AD44" s="77"/>
      <c r="AE44" s="77"/>
      <c r="AF44" s="77"/>
      <c r="AG44" s="77"/>
      <c r="AH44" s="77"/>
    </row>
    <row r="45" spans="1:34" ht="12" x14ac:dyDescent="0.25">
      <c r="A45" s="77"/>
      <c r="B45" s="267"/>
      <c r="C45" s="246"/>
      <c r="D45" s="247"/>
      <c r="E45" s="247"/>
      <c r="F45" s="248"/>
      <c r="G45" s="163" t="s">
        <v>68</v>
      </c>
      <c r="H45" s="211"/>
      <c r="I45" s="211" t="s">
        <v>142</v>
      </c>
      <c r="J45" s="211"/>
      <c r="K45" s="211"/>
      <c r="L45" s="192" t="s">
        <v>91</v>
      </c>
      <c r="M45" s="191" t="s">
        <v>146</v>
      </c>
      <c r="N45" s="209" t="s">
        <v>145</v>
      </c>
      <c r="O45" s="210"/>
      <c r="P45" s="99"/>
      <c r="Q45" s="100"/>
      <c r="R45" s="100"/>
      <c r="S45" s="100"/>
      <c r="T45" s="212"/>
      <c r="U45" s="213"/>
      <c r="V45" s="213"/>
      <c r="W45" s="213"/>
      <c r="X45" s="214"/>
      <c r="Y45" s="145"/>
      <c r="Z45" s="100"/>
      <c r="AA45" s="145"/>
      <c r="AB45" s="77"/>
      <c r="AC45" s="77"/>
      <c r="AD45" s="77"/>
      <c r="AE45" s="77"/>
      <c r="AF45" s="77"/>
      <c r="AG45" s="77"/>
      <c r="AH45" s="77"/>
    </row>
    <row r="46" spans="1:34" ht="12" x14ac:dyDescent="0.25">
      <c r="A46" s="77"/>
      <c r="B46" s="102"/>
      <c r="C46" s="196"/>
      <c r="D46" s="205"/>
      <c r="E46" s="205"/>
      <c r="F46" s="205"/>
      <c r="G46" s="103"/>
      <c r="H46" s="104"/>
      <c r="I46" s="104"/>
      <c r="J46" s="102"/>
      <c r="K46" s="102"/>
      <c r="L46" s="102"/>
      <c r="M46" s="102"/>
      <c r="N46" s="105"/>
      <c r="O46" s="105"/>
      <c r="P46" s="105"/>
      <c r="Q46" s="106"/>
      <c r="R46" s="106"/>
      <c r="S46" s="106"/>
      <c r="T46" s="95"/>
      <c r="U46" s="95"/>
      <c r="V46" s="95"/>
      <c r="W46" s="95"/>
      <c r="X46" s="95"/>
      <c r="Y46" s="77"/>
      <c r="Z46" s="77"/>
      <c r="AA46" s="77"/>
      <c r="AB46" s="77"/>
      <c r="AC46" s="77"/>
      <c r="AD46" s="77"/>
      <c r="AE46" s="77"/>
      <c r="AF46" s="77"/>
      <c r="AG46" s="77"/>
      <c r="AH46" s="77"/>
    </row>
    <row r="47" spans="1:34" ht="12" x14ac:dyDescent="0.25">
      <c r="A47" s="90"/>
      <c r="B47" s="91"/>
      <c r="C47" s="91"/>
      <c r="D47" s="94"/>
      <c r="E47" s="94"/>
      <c r="F47" s="94"/>
      <c r="G47" s="94"/>
      <c r="H47" s="91"/>
      <c r="I47" s="77"/>
      <c r="J47" s="77"/>
      <c r="K47" s="77"/>
      <c r="L47" s="77"/>
      <c r="M47" s="77"/>
      <c r="N47" s="77"/>
      <c r="O47" s="91"/>
      <c r="P47" s="86" t="s">
        <v>82</v>
      </c>
      <c r="Q47" s="107">
        <f>COUNTIF(Q32:Q45,"PASSED")</f>
        <v>0</v>
      </c>
      <c r="R47" s="112"/>
      <c r="S47" s="112"/>
      <c r="T47" s="95"/>
      <c r="U47" s="95"/>
      <c r="V47" s="95"/>
      <c r="W47" s="95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</row>
    <row r="48" spans="1:34" ht="14.4" customHeight="1" x14ac:dyDescent="0.25">
      <c r="A48" s="77"/>
      <c r="B48" s="77"/>
      <c r="C48" s="77"/>
      <c r="D48" s="77"/>
      <c r="E48" s="77"/>
      <c r="F48" s="77"/>
      <c r="G48" s="90"/>
      <c r="H48" s="91"/>
      <c r="I48" s="91"/>
      <c r="J48" s="94"/>
      <c r="K48" s="94"/>
      <c r="L48" s="94"/>
      <c r="M48" s="94"/>
      <c r="N48" s="91"/>
      <c r="O48" s="91"/>
      <c r="P48" s="86" t="s">
        <v>83</v>
      </c>
      <c r="Q48" s="108">
        <f>COUNTIF(Q32:Q45,"PASSED WITH CONDITION")</f>
        <v>0</v>
      </c>
      <c r="R48" s="112"/>
      <c r="S48" s="112"/>
      <c r="T48" s="95"/>
      <c r="U48" s="95"/>
      <c r="V48" s="95"/>
      <c r="W48" s="95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</row>
    <row r="49" spans="1:34" ht="14.4" customHeight="1" x14ac:dyDescent="0.25">
      <c r="A49" s="77"/>
      <c r="B49" s="77"/>
      <c r="C49" s="77"/>
      <c r="D49" s="77"/>
      <c r="E49" s="77"/>
      <c r="F49" s="77"/>
      <c r="G49" s="90"/>
      <c r="H49" s="91"/>
      <c r="I49" s="91"/>
      <c r="J49" s="77"/>
      <c r="K49" s="77"/>
      <c r="L49" s="77"/>
      <c r="M49" s="77"/>
      <c r="N49" s="91"/>
      <c r="O49" s="91"/>
      <c r="P49" s="86" t="s">
        <v>84</v>
      </c>
      <c r="Q49" s="109">
        <f>COUNTIF(Q32:Q45,"FAILED")</f>
        <v>0</v>
      </c>
      <c r="R49" s="112"/>
      <c r="S49" s="112"/>
      <c r="T49" s="95"/>
      <c r="U49" s="95"/>
      <c r="V49" s="95"/>
      <c r="W49" s="95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</row>
    <row r="50" spans="1:34" ht="12" x14ac:dyDescent="0.25">
      <c r="A50" s="77"/>
      <c r="B50" s="77"/>
      <c r="C50" s="77"/>
      <c r="D50" s="77"/>
      <c r="E50" s="77"/>
      <c r="F50" s="77"/>
      <c r="G50" s="90"/>
      <c r="H50" s="91"/>
      <c r="I50" s="91"/>
      <c r="J50" s="77"/>
      <c r="K50" s="77"/>
      <c r="L50" s="77"/>
      <c r="M50" s="77"/>
      <c r="N50" s="91"/>
      <c r="O50" s="91"/>
      <c r="P50" s="86" t="s">
        <v>85</v>
      </c>
      <c r="Q50" s="110">
        <f>COUNTIF(Q32:Q45,"N/A")</f>
        <v>0</v>
      </c>
      <c r="R50" s="112"/>
      <c r="S50" s="112"/>
      <c r="T50" s="95"/>
      <c r="U50" s="95"/>
      <c r="V50" s="95"/>
      <c r="W50" s="95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</row>
    <row r="51" spans="1:34" ht="14.4" customHeight="1" x14ac:dyDescent="0.25">
      <c r="A51" s="77"/>
      <c r="B51" s="77"/>
      <c r="C51" s="77"/>
      <c r="D51" s="77"/>
      <c r="E51" s="77"/>
      <c r="F51" s="77"/>
      <c r="G51" s="90"/>
      <c r="H51" s="91"/>
      <c r="I51" s="91"/>
      <c r="J51" s="77"/>
      <c r="K51" s="77"/>
      <c r="L51" s="77"/>
      <c r="M51" s="77"/>
      <c r="N51" s="91"/>
      <c r="O51" s="91"/>
      <c r="P51" s="77"/>
      <c r="Q51" s="95"/>
      <c r="R51" s="95"/>
      <c r="S51" s="95"/>
      <c r="T51" s="95"/>
      <c r="U51" s="95"/>
      <c r="V51" s="95"/>
      <c r="W51" s="95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</row>
    <row r="52" spans="1:34" ht="14.4" customHeight="1" x14ac:dyDescent="0.25">
      <c r="A52" s="77"/>
      <c r="B52" s="77"/>
      <c r="C52" s="77"/>
      <c r="D52" s="77"/>
      <c r="E52" s="77"/>
      <c r="F52" s="77"/>
      <c r="G52" s="90"/>
      <c r="H52" s="91"/>
      <c r="I52" s="91"/>
      <c r="J52" s="77"/>
      <c r="K52" s="77"/>
      <c r="L52" s="77"/>
      <c r="M52" s="77"/>
      <c r="N52" s="91"/>
      <c r="O52" s="91"/>
      <c r="P52" s="77"/>
      <c r="Q52" s="95"/>
      <c r="R52" s="95"/>
      <c r="S52" s="95"/>
      <c r="T52" s="95"/>
      <c r="U52" s="95"/>
      <c r="V52" s="95"/>
      <c r="W52" s="95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</row>
    <row r="53" spans="1:34" ht="14.4" customHeight="1" x14ac:dyDescent="0.25">
      <c r="A53" s="77"/>
      <c r="B53" s="77"/>
      <c r="C53" s="77"/>
      <c r="D53" s="77"/>
      <c r="E53" s="77"/>
      <c r="F53" s="77"/>
      <c r="G53" s="90"/>
      <c r="H53" s="91"/>
      <c r="I53" s="91"/>
      <c r="J53" s="77"/>
      <c r="K53" s="77"/>
      <c r="L53" s="77"/>
      <c r="M53" s="77"/>
      <c r="N53" s="91"/>
      <c r="O53" s="91"/>
      <c r="P53" s="77"/>
      <c r="Q53" s="95"/>
      <c r="R53" s="95"/>
      <c r="S53" s="95"/>
      <c r="T53" s="95"/>
      <c r="U53" s="95"/>
      <c r="V53" s="95"/>
      <c r="W53" s="95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</row>
    <row r="54" spans="1:34" ht="14.4" customHeight="1" x14ac:dyDescent="0.25">
      <c r="A54" s="77"/>
      <c r="B54" s="77"/>
      <c r="C54" s="77"/>
      <c r="D54" s="77"/>
      <c r="E54" s="77"/>
      <c r="F54" s="77"/>
      <c r="G54" s="90"/>
      <c r="H54" s="91"/>
      <c r="I54" s="91"/>
      <c r="J54" s="77"/>
      <c r="K54" s="77"/>
      <c r="L54" s="77"/>
      <c r="M54" s="77"/>
      <c r="N54" s="91"/>
      <c r="O54" s="91"/>
      <c r="P54" s="77"/>
      <c r="Q54" s="95"/>
      <c r="R54" s="95"/>
      <c r="S54" s="95"/>
      <c r="T54" s="95"/>
      <c r="U54" s="95"/>
      <c r="V54" s="95"/>
      <c r="W54" s="95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</row>
    <row r="55" spans="1:34" ht="14.4" customHeight="1" x14ac:dyDescent="0.25">
      <c r="A55" s="77"/>
      <c r="B55" s="77"/>
      <c r="C55" s="77"/>
      <c r="D55" s="77"/>
      <c r="E55" s="77"/>
      <c r="F55" s="77"/>
      <c r="G55" s="90"/>
      <c r="H55" s="91"/>
      <c r="I55" s="91"/>
      <c r="J55" s="77"/>
      <c r="K55" s="77"/>
      <c r="L55" s="77"/>
      <c r="M55" s="77"/>
      <c r="N55" s="91"/>
      <c r="O55" s="91"/>
      <c r="P55" s="77"/>
      <c r="Q55" s="95"/>
      <c r="R55" s="95"/>
      <c r="S55" s="95"/>
      <c r="T55" s="95"/>
      <c r="U55" s="95"/>
      <c r="V55" s="95"/>
      <c r="W55" s="95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</row>
    <row r="56" spans="1:34" ht="14.4" customHeight="1" x14ac:dyDescent="0.25">
      <c r="A56" s="77"/>
      <c r="B56" s="77"/>
      <c r="C56" s="77"/>
      <c r="D56" s="77"/>
      <c r="E56" s="77"/>
      <c r="F56" s="77"/>
      <c r="G56" s="90"/>
      <c r="H56" s="91"/>
      <c r="I56" s="91"/>
      <c r="J56" s="77"/>
      <c r="K56" s="77"/>
      <c r="L56" s="77"/>
      <c r="M56" s="77"/>
      <c r="N56" s="91"/>
      <c r="O56" s="91"/>
      <c r="P56" s="77"/>
      <c r="Q56" s="95"/>
      <c r="R56" s="95"/>
      <c r="S56" s="95"/>
      <c r="T56" s="95"/>
      <c r="U56" s="95"/>
      <c r="V56" s="95"/>
      <c r="W56" s="95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</row>
    <row r="57" spans="1:34" ht="12" x14ac:dyDescent="0.25">
      <c r="A57" s="77"/>
      <c r="B57" s="77"/>
      <c r="C57" s="77"/>
      <c r="D57" s="77"/>
      <c r="E57" s="77"/>
      <c r="F57" s="77"/>
      <c r="G57" s="90"/>
      <c r="H57" s="91"/>
      <c r="I57" s="91"/>
      <c r="J57" s="77"/>
      <c r="K57" s="77"/>
      <c r="L57" s="77"/>
      <c r="M57" s="77"/>
      <c r="N57" s="91"/>
      <c r="O57" s="91"/>
      <c r="P57" s="77"/>
      <c r="Q57" s="95"/>
      <c r="R57" s="95"/>
      <c r="S57" s="95"/>
      <c r="T57" s="95"/>
      <c r="U57" s="95"/>
      <c r="V57" s="95"/>
      <c r="W57" s="95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</row>
    <row r="58" spans="1:34" ht="14.4" customHeight="1" x14ac:dyDescent="0.25">
      <c r="A58" s="77"/>
      <c r="B58" s="77"/>
      <c r="C58" s="77"/>
      <c r="D58" s="77"/>
      <c r="E58" s="77"/>
      <c r="F58" s="77"/>
      <c r="G58" s="90"/>
      <c r="H58" s="91"/>
      <c r="I58" s="91"/>
      <c r="J58" s="77"/>
      <c r="K58" s="77"/>
      <c r="L58" s="77"/>
      <c r="M58" s="77"/>
      <c r="N58" s="91"/>
      <c r="O58" s="91"/>
      <c r="P58" s="77"/>
      <c r="Q58" s="95"/>
      <c r="R58" s="95"/>
      <c r="S58" s="95"/>
      <c r="T58" s="95"/>
      <c r="U58" s="95"/>
      <c r="V58" s="95"/>
      <c r="W58" s="95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</row>
    <row r="59" spans="1:34" ht="14.4" customHeight="1" x14ac:dyDescent="0.25">
      <c r="A59" s="77"/>
      <c r="B59" s="77"/>
      <c r="C59" s="77"/>
      <c r="D59" s="77"/>
      <c r="E59" s="77"/>
      <c r="F59" s="77"/>
      <c r="G59" s="90"/>
      <c r="H59" s="91"/>
      <c r="I59" s="91"/>
      <c r="J59" s="77"/>
      <c r="K59" s="77"/>
      <c r="L59" s="77"/>
      <c r="M59" s="77"/>
      <c r="N59" s="91"/>
      <c r="O59" s="91"/>
      <c r="P59" s="77"/>
      <c r="Q59" s="95"/>
      <c r="R59" s="95"/>
      <c r="S59" s="95"/>
      <c r="T59" s="95"/>
      <c r="U59" s="95"/>
      <c r="V59" s="95"/>
      <c r="W59" s="95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</row>
    <row r="60" spans="1:34" ht="14.4" customHeight="1" x14ac:dyDescent="0.25">
      <c r="A60" s="77"/>
      <c r="B60" s="77"/>
      <c r="C60" s="77"/>
      <c r="D60" s="77"/>
      <c r="E60" s="77"/>
      <c r="F60" s="77"/>
      <c r="G60" s="90"/>
      <c r="H60" s="91"/>
      <c r="I60" s="91"/>
      <c r="J60" s="77"/>
      <c r="K60" s="77"/>
      <c r="L60" s="77"/>
      <c r="M60" s="77"/>
      <c r="N60" s="91"/>
      <c r="O60" s="91"/>
      <c r="P60" s="77"/>
      <c r="Q60" s="95"/>
      <c r="R60" s="95"/>
      <c r="S60" s="95"/>
      <c r="T60" s="95"/>
      <c r="U60" s="95"/>
      <c r="V60" s="95"/>
      <c r="W60" s="95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</row>
    <row r="61" spans="1:34" ht="12" x14ac:dyDescent="0.25">
      <c r="A61" s="77"/>
      <c r="B61" s="77"/>
      <c r="C61" s="77"/>
      <c r="D61" s="77"/>
      <c r="E61" s="77"/>
      <c r="F61" s="77"/>
      <c r="G61" s="90"/>
      <c r="H61" s="91"/>
      <c r="I61" s="91"/>
      <c r="J61" s="77"/>
      <c r="K61" s="77"/>
      <c r="L61" s="77"/>
      <c r="M61" s="77"/>
      <c r="N61" s="91"/>
      <c r="O61" s="91"/>
      <c r="P61" s="77"/>
      <c r="Q61" s="95"/>
      <c r="R61" s="95"/>
      <c r="S61" s="95"/>
      <c r="T61" s="95"/>
      <c r="U61" s="95"/>
      <c r="V61" s="95"/>
      <c r="W61" s="95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</row>
    <row r="62" spans="1:34" ht="12" x14ac:dyDescent="0.25">
      <c r="A62" s="77"/>
      <c r="B62" s="77"/>
      <c r="C62" s="77"/>
      <c r="D62" s="77"/>
      <c r="E62" s="77"/>
      <c r="F62" s="77"/>
      <c r="G62" s="90"/>
      <c r="H62" s="91"/>
      <c r="I62" s="91"/>
      <c r="J62" s="77"/>
      <c r="K62" s="77"/>
      <c r="L62" s="77"/>
      <c r="M62" s="77"/>
      <c r="N62" s="91"/>
      <c r="O62" s="91"/>
      <c r="P62" s="77"/>
      <c r="Q62" s="95"/>
      <c r="R62" s="95"/>
      <c r="S62" s="95"/>
      <c r="T62" s="95"/>
      <c r="U62" s="95"/>
      <c r="V62" s="95"/>
      <c r="W62" s="95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</row>
    <row r="63" spans="1:34" ht="12" x14ac:dyDescent="0.25">
      <c r="A63" s="77"/>
      <c r="B63" s="77"/>
      <c r="C63" s="77"/>
      <c r="D63" s="77"/>
      <c r="E63" s="77"/>
      <c r="F63" s="77"/>
      <c r="G63" s="90"/>
      <c r="H63" s="91"/>
      <c r="I63" s="91"/>
      <c r="J63" s="77"/>
      <c r="K63" s="77"/>
      <c r="L63" s="77"/>
      <c r="M63" s="77"/>
      <c r="N63" s="91"/>
      <c r="O63" s="91"/>
      <c r="P63" s="77"/>
      <c r="Q63" s="95"/>
      <c r="R63" s="95"/>
      <c r="S63" s="95"/>
      <c r="T63" s="95"/>
      <c r="U63" s="95"/>
      <c r="V63" s="95"/>
      <c r="W63" s="95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</row>
    <row r="64" spans="1:34" ht="12" x14ac:dyDescent="0.25">
      <c r="A64" s="77"/>
      <c r="B64" s="77"/>
      <c r="C64" s="77"/>
      <c r="D64" s="77"/>
      <c r="E64" s="77"/>
      <c r="F64" s="77"/>
      <c r="G64" s="90"/>
      <c r="H64" s="91"/>
      <c r="I64" s="91"/>
      <c r="J64" s="77"/>
      <c r="K64" s="77"/>
      <c r="L64" s="77"/>
      <c r="M64" s="77"/>
      <c r="N64" s="91"/>
      <c r="O64" s="91"/>
      <c r="P64" s="77"/>
      <c r="Q64" s="95"/>
      <c r="R64" s="95"/>
      <c r="S64" s="95"/>
      <c r="T64" s="95"/>
      <c r="U64" s="95"/>
      <c r="V64" s="95"/>
      <c r="W64" s="95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</row>
    <row r="65" spans="1:34" ht="12" x14ac:dyDescent="0.25">
      <c r="A65" s="77"/>
      <c r="B65" s="77"/>
      <c r="C65" s="77"/>
      <c r="D65" s="77"/>
      <c r="E65" s="77"/>
      <c r="F65" s="77"/>
      <c r="G65" s="90"/>
      <c r="H65" s="91"/>
      <c r="I65" s="91"/>
      <c r="J65" s="77"/>
      <c r="K65" s="77"/>
      <c r="L65" s="77"/>
      <c r="M65" s="77"/>
      <c r="N65" s="91"/>
      <c r="O65" s="91"/>
      <c r="P65" s="77"/>
      <c r="Q65" s="95"/>
      <c r="R65" s="95"/>
      <c r="S65" s="95"/>
      <c r="T65" s="95"/>
      <c r="U65" s="95"/>
      <c r="V65" s="95"/>
      <c r="W65" s="95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</row>
    <row r="66" spans="1:34" ht="12" x14ac:dyDescent="0.25">
      <c r="A66" s="77"/>
      <c r="B66" s="77"/>
      <c r="C66" s="77"/>
      <c r="D66" s="77"/>
      <c r="E66" s="77"/>
      <c r="F66" s="77"/>
      <c r="G66" s="90"/>
      <c r="H66" s="91"/>
      <c r="I66" s="91"/>
      <c r="J66" s="77"/>
      <c r="K66" s="77"/>
      <c r="L66" s="77"/>
      <c r="M66" s="77"/>
      <c r="N66" s="91"/>
      <c r="O66" s="91"/>
      <c r="P66" s="77"/>
      <c r="Q66" s="95"/>
      <c r="R66" s="95"/>
      <c r="S66" s="95"/>
      <c r="T66" s="95"/>
      <c r="U66" s="95"/>
      <c r="V66" s="95"/>
      <c r="W66" s="95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</row>
    <row r="67" spans="1:34" ht="12" x14ac:dyDescent="0.25">
      <c r="A67" s="77"/>
      <c r="B67" s="77"/>
      <c r="C67" s="77"/>
      <c r="D67" s="77"/>
      <c r="E67" s="77"/>
      <c r="F67" s="77"/>
      <c r="G67" s="90"/>
      <c r="H67" s="91"/>
      <c r="I67" s="91"/>
      <c r="J67" s="77"/>
      <c r="K67" s="77"/>
      <c r="L67" s="77"/>
      <c r="M67" s="77"/>
      <c r="N67" s="91"/>
      <c r="O67" s="91"/>
      <c r="P67" s="77"/>
      <c r="Q67" s="95"/>
      <c r="R67" s="95"/>
      <c r="S67" s="95"/>
      <c r="T67" s="95"/>
      <c r="U67" s="95"/>
      <c r="V67" s="95"/>
      <c r="W67" s="95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</row>
    <row r="68" spans="1:34" ht="14.4" customHeight="1" x14ac:dyDescent="0.25">
      <c r="A68" s="77"/>
      <c r="B68" s="77"/>
      <c r="C68" s="77"/>
      <c r="D68" s="77"/>
      <c r="E68" s="77"/>
      <c r="F68" s="77"/>
      <c r="G68" s="90"/>
      <c r="H68" s="91"/>
      <c r="I68" s="91"/>
      <c r="J68" s="77"/>
      <c r="K68" s="77"/>
      <c r="L68" s="77"/>
      <c r="M68" s="77"/>
      <c r="N68" s="91"/>
      <c r="O68" s="91"/>
      <c r="P68" s="77"/>
      <c r="Q68" s="95"/>
      <c r="R68" s="95"/>
      <c r="S68" s="95"/>
      <c r="T68" s="95"/>
      <c r="U68" s="95"/>
      <c r="V68" s="95"/>
      <c r="W68" s="95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</row>
    <row r="69" spans="1:34" ht="14.4" customHeight="1" x14ac:dyDescent="0.25">
      <c r="A69" s="77"/>
      <c r="B69" s="77"/>
      <c r="C69" s="77"/>
      <c r="D69" s="77"/>
      <c r="E69" s="77"/>
      <c r="F69" s="77"/>
      <c r="G69" s="90"/>
      <c r="H69" s="91"/>
      <c r="I69" s="91"/>
      <c r="J69" s="77"/>
      <c r="K69" s="77"/>
      <c r="L69" s="77"/>
      <c r="M69" s="77"/>
      <c r="N69" s="91"/>
      <c r="O69" s="91"/>
      <c r="P69" s="77"/>
      <c r="Q69" s="95"/>
      <c r="R69" s="95"/>
      <c r="S69" s="95"/>
      <c r="T69" s="95"/>
      <c r="U69" s="95"/>
      <c r="V69" s="95"/>
      <c r="W69" s="95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</row>
    <row r="70" spans="1:34" ht="12" x14ac:dyDescent="0.25">
      <c r="A70" s="77"/>
      <c r="B70" s="77"/>
      <c r="C70" s="77"/>
      <c r="D70" s="77"/>
      <c r="E70" s="77"/>
      <c r="F70" s="77"/>
      <c r="G70" s="90"/>
      <c r="H70" s="91"/>
      <c r="I70" s="91"/>
      <c r="J70" s="77"/>
      <c r="K70" s="77"/>
      <c r="L70" s="77"/>
      <c r="M70" s="77"/>
      <c r="N70" s="91"/>
      <c r="O70" s="91"/>
      <c r="P70" s="77"/>
      <c r="Q70" s="95"/>
      <c r="R70" s="95"/>
      <c r="S70" s="95"/>
      <c r="T70" s="95"/>
      <c r="U70" s="95"/>
      <c r="V70" s="95"/>
      <c r="W70" s="95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</row>
    <row r="71" spans="1:34" ht="14.4" customHeight="1" x14ac:dyDescent="0.25">
      <c r="A71" s="77"/>
      <c r="B71" s="77"/>
      <c r="C71" s="77"/>
      <c r="D71" s="77"/>
      <c r="E71" s="77"/>
      <c r="F71" s="77"/>
      <c r="G71" s="90"/>
      <c r="H71" s="91"/>
      <c r="I71" s="91"/>
      <c r="J71" s="77"/>
      <c r="K71" s="77"/>
      <c r="L71" s="77"/>
      <c r="M71" s="77"/>
      <c r="N71" s="91"/>
      <c r="O71" s="91"/>
      <c r="P71" s="77"/>
      <c r="Q71" s="95"/>
      <c r="R71" s="95"/>
      <c r="S71" s="95"/>
      <c r="T71" s="95"/>
      <c r="U71" s="95"/>
      <c r="V71" s="95"/>
      <c r="W71" s="95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</row>
    <row r="72" spans="1:34" ht="14.4" customHeight="1" x14ac:dyDescent="0.25">
      <c r="A72" s="77"/>
      <c r="B72" s="77"/>
      <c r="C72" s="77"/>
      <c r="D72" s="77"/>
      <c r="E72" s="77"/>
      <c r="F72" s="77"/>
      <c r="G72" s="90"/>
      <c r="H72" s="91"/>
      <c r="I72" s="91"/>
      <c r="J72" s="77"/>
      <c r="K72" s="77"/>
      <c r="L72" s="77"/>
      <c r="M72" s="77"/>
      <c r="N72" s="91"/>
      <c r="O72" s="91"/>
      <c r="P72" s="77"/>
      <c r="Q72" s="95"/>
      <c r="R72" s="95"/>
      <c r="S72" s="95"/>
      <c r="T72" s="95"/>
      <c r="U72" s="95"/>
      <c r="V72" s="95"/>
      <c r="W72" s="95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</row>
    <row r="73" spans="1:34" ht="14.4" customHeight="1" x14ac:dyDescent="0.25">
      <c r="A73" s="77"/>
      <c r="B73" s="77"/>
      <c r="C73" s="77"/>
      <c r="D73" s="77"/>
      <c r="E73" s="77"/>
      <c r="F73" s="77"/>
      <c r="G73" s="90"/>
      <c r="H73" s="91"/>
      <c r="I73" s="91"/>
      <c r="J73" s="77"/>
      <c r="K73" s="77"/>
      <c r="L73" s="77"/>
      <c r="M73" s="77"/>
      <c r="N73" s="91"/>
      <c r="O73" s="91"/>
      <c r="P73" s="77"/>
      <c r="Q73" s="95"/>
      <c r="R73" s="95"/>
      <c r="S73" s="95"/>
      <c r="T73" s="95"/>
      <c r="U73" s="95"/>
      <c r="V73" s="95"/>
      <c r="W73" s="95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</row>
    <row r="74" spans="1:34" ht="14.4" customHeight="1" x14ac:dyDescent="0.25">
      <c r="A74" s="77"/>
      <c r="B74" s="77"/>
      <c r="C74" s="77"/>
      <c r="D74" s="77"/>
      <c r="E74" s="77"/>
      <c r="F74" s="77"/>
      <c r="G74" s="90"/>
      <c r="H74" s="91"/>
      <c r="I74" s="91"/>
      <c r="J74" s="77"/>
      <c r="K74" s="77"/>
      <c r="L74" s="77"/>
      <c r="M74" s="77"/>
      <c r="N74" s="91"/>
      <c r="O74" s="91"/>
      <c r="P74" s="77"/>
      <c r="Q74" s="95"/>
      <c r="R74" s="95"/>
      <c r="S74" s="95"/>
      <c r="T74" s="95"/>
      <c r="U74" s="95"/>
      <c r="V74" s="95"/>
      <c r="W74" s="95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</row>
    <row r="75" spans="1:34" ht="14.4" customHeight="1" x14ac:dyDescent="0.25">
      <c r="A75" s="77"/>
      <c r="B75" s="77"/>
      <c r="C75" s="77"/>
      <c r="D75" s="77"/>
      <c r="E75" s="77"/>
      <c r="F75" s="77"/>
      <c r="G75" s="90"/>
      <c r="H75" s="91"/>
      <c r="I75" s="91"/>
      <c r="J75" s="77"/>
      <c r="K75" s="77"/>
      <c r="L75" s="77"/>
      <c r="M75" s="77"/>
      <c r="N75" s="91"/>
      <c r="O75" s="91"/>
      <c r="P75" s="77"/>
      <c r="Q75" s="95"/>
      <c r="R75" s="95"/>
      <c r="S75" s="95"/>
      <c r="T75" s="95"/>
      <c r="U75" s="95"/>
      <c r="V75" s="95"/>
      <c r="W75" s="95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</row>
    <row r="76" spans="1:34" ht="14.4" customHeight="1" x14ac:dyDescent="0.25">
      <c r="A76" s="77"/>
      <c r="B76" s="77"/>
      <c r="C76" s="77"/>
      <c r="D76" s="77"/>
      <c r="E76" s="77"/>
      <c r="F76" s="77"/>
      <c r="G76" s="90"/>
      <c r="H76" s="91"/>
      <c r="I76" s="91"/>
      <c r="J76" s="77"/>
      <c r="K76" s="77"/>
      <c r="L76" s="77"/>
      <c r="M76" s="77"/>
      <c r="N76" s="91"/>
      <c r="O76" s="91"/>
      <c r="P76" s="77"/>
      <c r="Q76" s="95"/>
      <c r="R76" s="95"/>
      <c r="S76" s="95"/>
      <c r="T76" s="95"/>
      <c r="U76" s="95"/>
      <c r="V76" s="95"/>
      <c r="W76" s="95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</row>
    <row r="77" spans="1:34" ht="14.4" customHeight="1" x14ac:dyDescent="0.25">
      <c r="A77" s="77"/>
      <c r="B77" s="77"/>
      <c r="C77" s="77"/>
      <c r="D77" s="77"/>
      <c r="E77" s="77"/>
      <c r="F77" s="77"/>
      <c r="G77" s="90"/>
      <c r="H77" s="91"/>
      <c r="I77" s="91"/>
      <c r="J77" s="77"/>
      <c r="K77" s="77"/>
      <c r="L77" s="77"/>
      <c r="M77" s="77"/>
      <c r="N77" s="91"/>
      <c r="O77" s="91"/>
      <c r="P77" s="77"/>
      <c r="Q77" s="95"/>
      <c r="R77" s="95"/>
      <c r="S77" s="95"/>
      <c r="T77" s="95"/>
      <c r="U77" s="95"/>
      <c r="V77" s="95"/>
      <c r="W77" s="95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</row>
    <row r="78" spans="1:34" ht="14.4" customHeight="1" x14ac:dyDescent="0.25">
      <c r="A78" s="77"/>
      <c r="B78" s="77"/>
      <c r="C78" s="77"/>
      <c r="D78" s="77"/>
      <c r="E78" s="77"/>
      <c r="F78" s="77"/>
      <c r="G78" s="90"/>
      <c r="H78" s="91"/>
      <c r="I78" s="91"/>
      <c r="J78" s="77"/>
      <c r="K78" s="77"/>
      <c r="L78" s="77"/>
      <c r="M78" s="77"/>
      <c r="N78" s="91"/>
      <c r="O78" s="91"/>
      <c r="P78" s="77"/>
      <c r="Q78" s="95"/>
      <c r="R78" s="95"/>
      <c r="S78" s="95"/>
      <c r="T78" s="95"/>
      <c r="U78" s="95"/>
      <c r="V78" s="95"/>
      <c r="W78" s="95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</row>
    <row r="79" spans="1:34" ht="12" x14ac:dyDescent="0.25">
      <c r="A79" s="77"/>
      <c r="B79" s="77"/>
      <c r="C79" s="77"/>
      <c r="D79" s="77"/>
      <c r="E79" s="77"/>
      <c r="F79" s="77"/>
      <c r="G79" s="90"/>
      <c r="H79" s="91"/>
      <c r="I79" s="91"/>
      <c r="J79" s="77"/>
      <c r="K79" s="77"/>
      <c r="L79" s="77"/>
      <c r="M79" s="77"/>
      <c r="N79" s="91"/>
      <c r="O79" s="91"/>
      <c r="P79" s="77"/>
      <c r="Q79" s="95"/>
      <c r="R79" s="95"/>
      <c r="S79" s="95"/>
      <c r="T79" s="95"/>
      <c r="U79" s="95"/>
      <c r="V79" s="95"/>
      <c r="W79" s="95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</row>
    <row r="80" spans="1:34" ht="14.4" customHeight="1" x14ac:dyDescent="0.25">
      <c r="A80" s="77"/>
      <c r="B80" s="77"/>
      <c r="C80" s="77"/>
      <c r="D80" s="77"/>
      <c r="E80" s="77"/>
      <c r="F80" s="77"/>
      <c r="G80" s="90"/>
      <c r="H80" s="91"/>
      <c r="I80" s="91"/>
      <c r="J80" s="77"/>
      <c r="K80" s="77"/>
      <c r="L80" s="77"/>
      <c r="M80" s="77"/>
      <c r="N80" s="91"/>
      <c r="O80" s="91"/>
      <c r="P80" s="77"/>
      <c r="Q80" s="95"/>
      <c r="R80" s="95"/>
      <c r="S80" s="95"/>
      <c r="T80" s="95"/>
      <c r="U80" s="95"/>
      <c r="V80" s="95"/>
      <c r="W80" s="95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</row>
    <row r="81" spans="1:34" ht="12" x14ac:dyDescent="0.25">
      <c r="A81" s="77"/>
      <c r="B81" s="77"/>
      <c r="C81" s="77"/>
      <c r="D81" s="77"/>
      <c r="E81" s="77"/>
      <c r="F81" s="77"/>
      <c r="G81" s="90"/>
      <c r="H81" s="91"/>
      <c r="I81" s="91"/>
      <c r="J81" s="77"/>
      <c r="K81" s="77"/>
      <c r="L81" s="77"/>
      <c r="M81" s="77"/>
      <c r="N81" s="91"/>
      <c r="O81" s="91"/>
      <c r="P81" s="77"/>
      <c r="Q81" s="95"/>
      <c r="R81" s="95"/>
      <c r="S81" s="95"/>
      <c r="T81" s="95"/>
      <c r="U81" s="95"/>
      <c r="V81" s="95"/>
      <c r="W81" s="95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</row>
    <row r="82" spans="1:34" ht="14.4" customHeight="1" x14ac:dyDescent="0.25">
      <c r="A82" s="77"/>
      <c r="B82" s="77"/>
      <c r="C82" s="77"/>
      <c r="D82" s="77"/>
      <c r="E82" s="77"/>
      <c r="F82" s="77"/>
      <c r="G82" s="90"/>
      <c r="H82" s="91"/>
      <c r="I82" s="91"/>
      <c r="J82" s="77"/>
      <c r="K82" s="77"/>
      <c r="L82" s="77"/>
      <c r="M82" s="77"/>
      <c r="N82" s="91"/>
      <c r="O82" s="91"/>
      <c r="P82" s="77"/>
      <c r="Q82" s="95"/>
      <c r="R82" s="95"/>
      <c r="S82" s="95"/>
      <c r="T82" s="95"/>
      <c r="U82" s="95"/>
      <c r="V82" s="95"/>
      <c r="W82" s="95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</row>
    <row r="83" spans="1:34" ht="12" x14ac:dyDescent="0.25">
      <c r="A83" s="77"/>
      <c r="B83" s="77"/>
      <c r="C83" s="77"/>
      <c r="D83" s="77"/>
      <c r="E83" s="77"/>
      <c r="F83" s="77"/>
      <c r="G83" s="90"/>
      <c r="H83" s="91"/>
      <c r="I83" s="91"/>
      <c r="J83" s="77"/>
      <c r="K83" s="77"/>
      <c r="L83" s="77"/>
      <c r="M83" s="77"/>
      <c r="N83" s="91"/>
      <c r="O83" s="91"/>
      <c r="P83" s="77"/>
      <c r="Q83" s="95"/>
      <c r="R83" s="95"/>
      <c r="S83" s="95"/>
      <c r="T83" s="95"/>
      <c r="U83" s="95"/>
      <c r="V83" s="95"/>
      <c r="W83" s="95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</row>
    <row r="84" spans="1:34" ht="14.4" customHeight="1" x14ac:dyDescent="0.25">
      <c r="A84" s="77"/>
      <c r="B84" s="77"/>
      <c r="C84" s="77"/>
      <c r="D84" s="77"/>
      <c r="E84" s="77"/>
      <c r="F84" s="77"/>
      <c r="G84" s="90"/>
      <c r="H84" s="91"/>
      <c r="I84" s="91"/>
      <c r="J84" s="77"/>
      <c r="K84" s="77"/>
      <c r="L84" s="77"/>
      <c r="M84" s="77"/>
      <c r="N84" s="91"/>
      <c r="O84" s="91"/>
      <c r="P84" s="77"/>
      <c r="Q84" s="95"/>
      <c r="R84" s="95"/>
      <c r="S84" s="95"/>
      <c r="T84" s="95"/>
      <c r="U84" s="95"/>
      <c r="V84" s="95"/>
      <c r="W84" s="95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</row>
    <row r="85" spans="1:34" ht="14.4" customHeight="1" x14ac:dyDescent="0.25">
      <c r="A85" s="77"/>
      <c r="B85" s="77"/>
      <c r="C85" s="77"/>
      <c r="D85" s="77"/>
      <c r="E85" s="77"/>
      <c r="F85" s="77"/>
      <c r="G85" s="90"/>
      <c r="H85" s="91"/>
      <c r="I85" s="91"/>
      <c r="J85" s="77"/>
      <c r="K85" s="77"/>
      <c r="L85" s="77"/>
      <c r="M85" s="77"/>
      <c r="N85" s="91"/>
      <c r="O85" s="91"/>
      <c r="P85" s="77"/>
      <c r="Q85" s="95"/>
      <c r="R85" s="95"/>
      <c r="S85" s="95"/>
      <c r="T85" s="95"/>
      <c r="U85" s="95"/>
      <c r="V85" s="95"/>
      <c r="W85" s="95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</row>
    <row r="86" spans="1:34" ht="14.4" customHeight="1" x14ac:dyDescent="0.25">
      <c r="A86" s="77"/>
      <c r="B86" s="77"/>
      <c r="C86" s="77"/>
      <c r="D86" s="77"/>
      <c r="E86" s="77"/>
      <c r="F86" s="77"/>
      <c r="G86" s="90"/>
      <c r="H86" s="91"/>
      <c r="I86" s="91"/>
      <c r="J86" s="77"/>
      <c r="K86" s="77"/>
      <c r="L86" s="77"/>
      <c r="M86" s="77"/>
      <c r="N86" s="91"/>
      <c r="O86" s="91"/>
      <c r="P86" s="77"/>
      <c r="Q86" s="95"/>
      <c r="R86" s="95"/>
      <c r="S86" s="95"/>
      <c r="T86" s="95"/>
      <c r="U86" s="95"/>
      <c r="V86" s="95"/>
      <c r="W86" s="95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</row>
    <row r="87" spans="1:34" ht="12" x14ac:dyDescent="0.25">
      <c r="A87" s="77"/>
      <c r="B87" s="77"/>
      <c r="C87" s="77"/>
      <c r="D87" s="77"/>
      <c r="E87" s="77"/>
      <c r="F87" s="77"/>
      <c r="G87" s="90"/>
      <c r="H87" s="91"/>
      <c r="I87" s="91"/>
      <c r="J87" s="77"/>
      <c r="K87" s="77"/>
      <c r="L87" s="77"/>
      <c r="M87" s="77"/>
      <c r="N87" s="91"/>
      <c r="O87" s="91"/>
      <c r="P87" s="77"/>
      <c r="Q87" s="95"/>
      <c r="R87" s="95"/>
      <c r="S87" s="95"/>
      <c r="T87" s="95"/>
      <c r="U87" s="95"/>
      <c r="V87" s="95"/>
      <c r="W87" s="95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</row>
    <row r="88" spans="1:34" ht="14.4" customHeight="1" x14ac:dyDescent="0.25">
      <c r="A88" s="77"/>
      <c r="B88" s="77"/>
      <c r="C88" s="77"/>
      <c r="D88" s="77"/>
      <c r="E88" s="77"/>
      <c r="F88" s="77"/>
      <c r="G88" s="90"/>
      <c r="H88" s="91"/>
      <c r="I88" s="91"/>
      <c r="J88" s="77"/>
      <c r="K88" s="77"/>
      <c r="L88" s="77"/>
      <c r="M88" s="77"/>
      <c r="N88" s="91"/>
      <c r="O88" s="91"/>
      <c r="P88" s="77"/>
      <c r="Q88" s="95"/>
      <c r="R88" s="95"/>
      <c r="S88" s="95"/>
      <c r="T88" s="95"/>
      <c r="U88" s="95"/>
      <c r="V88" s="95"/>
      <c r="W88" s="95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</row>
    <row r="89" spans="1:34" ht="14.4" customHeight="1" x14ac:dyDescent="0.25">
      <c r="A89" s="77"/>
      <c r="B89" s="77"/>
      <c r="C89" s="77"/>
      <c r="D89" s="77"/>
      <c r="E89" s="77"/>
      <c r="F89" s="77"/>
      <c r="G89" s="90"/>
      <c r="H89" s="91"/>
      <c r="I89" s="91"/>
      <c r="J89" s="77"/>
      <c r="K89" s="77"/>
      <c r="L89" s="77"/>
      <c r="M89" s="77"/>
      <c r="N89" s="91"/>
      <c r="O89" s="91"/>
      <c r="P89" s="77"/>
      <c r="Q89" s="95"/>
      <c r="R89" s="95"/>
      <c r="S89" s="95"/>
      <c r="T89" s="95"/>
      <c r="U89" s="95"/>
      <c r="V89" s="95"/>
      <c r="W89" s="95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</row>
    <row r="90" spans="1:34" ht="12" x14ac:dyDescent="0.25">
      <c r="A90" s="77"/>
      <c r="B90" s="77"/>
      <c r="C90" s="77"/>
      <c r="D90" s="77"/>
      <c r="E90" s="77"/>
      <c r="F90" s="77"/>
      <c r="G90" s="90"/>
      <c r="H90" s="91"/>
      <c r="I90" s="91"/>
      <c r="J90" s="77"/>
      <c r="K90" s="77"/>
      <c r="L90" s="77"/>
      <c r="M90" s="77"/>
      <c r="N90" s="91"/>
      <c r="O90" s="91"/>
      <c r="P90" s="77"/>
      <c r="Q90" s="95"/>
      <c r="R90" s="95"/>
      <c r="S90" s="95"/>
      <c r="T90" s="95"/>
      <c r="U90" s="95"/>
      <c r="V90" s="95"/>
      <c r="W90" s="95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</row>
    <row r="91" spans="1:34" ht="14.4" customHeight="1" x14ac:dyDescent="0.25">
      <c r="A91" s="77"/>
      <c r="B91" s="77"/>
      <c r="C91" s="77"/>
      <c r="D91" s="77"/>
      <c r="E91" s="77"/>
      <c r="F91" s="77"/>
      <c r="G91" s="90"/>
      <c r="H91" s="91"/>
      <c r="I91" s="91"/>
      <c r="J91" s="77"/>
      <c r="K91" s="77"/>
      <c r="L91" s="77"/>
      <c r="M91" s="77"/>
      <c r="N91" s="91"/>
      <c r="O91" s="91"/>
      <c r="P91" s="77"/>
      <c r="Q91" s="95"/>
      <c r="R91" s="95"/>
      <c r="S91" s="95"/>
      <c r="T91" s="95"/>
      <c r="U91" s="95"/>
      <c r="V91" s="95"/>
      <c r="W91" s="95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</row>
    <row r="92" spans="1:34" ht="14.4" customHeight="1" x14ac:dyDescent="0.25">
      <c r="A92" s="77"/>
      <c r="B92" s="77"/>
      <c r="C92" s="77"/>
      <c r="D92" s="77"/>
      <c r="E92" s="77"/>
      <c r="F92" s="77"/>
      <c r="G92" s="90"/>
      <c r="H92" s="91"/>
      <c r="I92" s="91"/>
      <c r="J92" s="77"/>
      <c r="K92" s="77"/>
      <c r="L92" s="77"/>
      <c r="M92" s="77"/>
      <c r="N92" s="91"/>
      <c r="O92" s="91"/>
      <c r="P92" s="77"/>
      <c r="Q92" s="95"/>
      <c r="R92" s="95"/>
      <c r="S92" s="95"/>
      <c r="T92" s="95"/>
      <c r="U92" s="95"/>
      <c r="V92" s="95"/>
      <c r="W92" s="95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</row>
    <row r="93" spans="1:34" ht="14.4" customHeight="1" x14ac:dyDescent="0.25">
      <c r="A93" s="77"/>
      <c r="B93" s="77"/>
      <c r="C93" s="77"/>
      <c r="D93" s="77"/>
      <c r="E93" s="77"/>
      <c r="F93" s="77"/>
      <c r="G93" s="90"/>
      <c r="H93" s="91"/>
      <c r="I93" s="91"/>
      <c r="J93" s="77"/>
      <c r="K93" s="77"/>
      <c r="L93" s="77"/>
      <c r="M93" s="77"/>
      <c r="N93" s="91"/>
      <c r="O93" s="91"/>
      <c r="P93" s="77"/>
      <c r="Q93" s="95"/>
      <c r="R93" s="95"/>
      <c r="S93" s="95"/>
      <c r="T93" s="95"/>
      <c r="U93" s="95"/>
      <c r="V93" s="95"/>
      <c r="W93" s="95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</row>
    <row r="94" spans="1:34" ht="12" x14ac:dyDescent="0.25">
      <c r="A94" s="77"/>
      <c r="B94" s="77"/>
      <c r="C94" s="77"/>
      <c r="D94" s="77"/>
      <c r="E94" s="77"/>
      <c r="F94" s="77"/>
      <c r="G94" s="90"/>
      <c r="H94" s="91"/>
      <c r="I94" s="91"/>
      <c r="J94" s="77"/>
      <c r="K94" s="77"/>
      <c r="L94" s="77"/>
      <c r="M94" s="77"/>
      <c r="N94" s="91"/>
      <c r="O94" s="91"/>
      <c r="P94" s="77"/>
      <c r="Q94" s="95"/>
      <c r="R94" s="95"/>
      <c r="S94" s="95"/>
      <c r="T94" s="95"/>
      <c r="U94" s="95"/>
      <c r="V94" s="95"/>
      <c r="W94" s="95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</row>
    <row r="95" spans="1:34" ht="14.4" customHeight="1" x14ac:dyDescent="0.25">
      <c r="A95" s="77"/>
      <c r="B95" s="77"/>
      <c r="C95" s="77"/>
      <c r="D95" s="77"/>
      <c r="E95" s="77"/>
      <c r="F95" s="77"/>
      <c r="G95" s="90"/>
      <c r="H95" s="91"/>
      <c r="I95" s="91"/>
      <c r="J95" s="77"/>
      <c r="K95" s="77"/>
      <c r="L95" s="77"/>
      <c r="M95" s="77"/>
      <c r="N95" s="91"/>
      <c r="O95" s="91"/>
      <c r="P95" s="77"/>
      <c r="Q95" s="95"/>
      <c r="R95" s="95"/>
      <c r="S95" s="95"/>
      <c r="T95" s="95"/>
      <c r="U95" s="95"/>
      <c r="V95" s="95"/>
      <c r="W95" s="95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</row>
    <row r="96" spans="1:34" ht="14.4" customHeight="1" x14ac:dyDescent="0.25">
      <c r="A96" s="77"/>
      <c r="B96" s="77"/>
      <c r="C96" s="77"/>
      <c r="D96" s="77"/>
      <c r="E96" s="77"/>
      <c r="F96" s="77"/>
      <c r="G96" s="90"/>
      <c r="H96" s="91"/>
      <c r="I96" s="91"/>
      <c r="J96" s="77"/>
      <c r="K96" s="77"/>
      <c r="L96" s="77"/>
      <c r="M96" s="77"/>
      <c r="N96" s="91"/>
      <c r="O96" s="91"/>
      <c r="P96" s="77"/>
      <c r="Q96" s="95"/>
      <c r="R96" s="95"/>
      <c r="S96" s="95"/>
      <c r="T96" s="95"/>
      <c r="U96" s="95"/>
      <c r="V96" s="95"/>
      <c r="W96" s="95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</row>
    <row r="97" spans="1:34" ht="14.4" customHeight="1" x14ac:dyDescent="0.25">
      <c r="A97" s="77"/>
      <c r="B97" s="77"/>
      <c r="C97" s="77"/>
      <c r="D97" s="77"/>
      <c r="E97" s="77"/>
      <c r="F97" s="77"/>
      <c r="G97" s="90"/>
      <c r="H97" s="91"/>
      <c r="I97" s="91"/>
      <c r="J97" s="77"/>
      <c r="K97" s="77"/>
      <c r="L97" s="77"/>
      <c r="M97" s="77"/>
      <c r="N97" s="91"/>
      <c r="O97" s="91"/>
      <c r="P97" s="77"/>
      <c r="Q97" s="95"/>
      <c r="R97" s="95"/>
      <c r="S97" s="95"/>
      <c r="T97" s="95"/>
      <c r="U97" s="95"/>
      <c r="V97" s="95"/>
      <c r="W97" s="95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</row>
    <row r="98" spans="1:34" ht="14.4" customHeight="1" x14ac:dyDescent="0.25">
      <c r="A98" s="77"/>
      <c r="B98" s="77"/>
      <c r="C98" s="77"/>
      <c r="D98" s="77"/>
      <c r="E98" s="77"/>
      <c r="F98" s="77"/>
      <c r="G98" s="90"/>
      <c r="H98" s="91"/>
      <c r="I98" s="91"/>
      <c r="J98" s="77"/>
      <c r="K98" s="77"/>
      <c r="L98" s="77"/>
      <c r="M98" s="77"/>
      <c r="N98" s="91"/>
      <c r="O98" s="91"/>
      <c r="P98" s="77"/>
      <c r="Q98" s="95"/>
      <c r="R98" s="95"/>
      <c r="S98" s="95"/>
      <c r="T98" s="95"/>
      <c r="U98" s="95"/>
      <c r="V98" s="95"/>
      <c r="W98" s="95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</row>
    <row r="99" spans="1:34" ht="14.4" customHeight="1" x14ac:dyDescent="0.25">
      <c r="A99" s="77"/>
      <c r="B99" s="77"/>
      <c r="C99" s="77"/>
      <c r="D99" s="77"/>
      <c r="E99" s="77"/>
      <c r="F99" s="77"/>
      <c r="G99" s="90"/>
      <c r="H99" s="91"/>
      <c r="I99" s="91"/>
      <c r="J99" s="77"/>
      <c r="K99" s="77"/>
      <c r="L99" s="77"/>
      <c r="M99" s="77"/>
      <c r="N99" s="91"/>
      <c r="O99" s="91"/>
      <c r="P99" s="77"/>
      <c r="Q99" s="95"/>
      <c r="R99" s="95"/>
      <c r="S99" s="95"/>
      <c r="T99" s="95"/>
      <c r="U99" s="95"/>
      <c r="V99" s="95"/>
      <c r="W99" s="95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</row>
    <row r="100" spans="1:34" ht="12" x14ac:dyDescent="0.25">
      <c r="A100" s="77"/>
      <c r="B100" s="77"/>
      <c r="C100" s="77"/>
      <c r="D100" s="77"/>
      <c r="E100" s="77"/>
      <c r="F100" s="77"/>
      <c r="G100" s="90"/>
      <c r="H100" s="91"/>
      <c r="I100" s="91"/>
      <c r="J100" s="77"/>
      <c r="K100" s="77"/>
      <c r="L100" s="77"/>
      <c r="M100" s="77"/>
      <c r="N100" s="91"/>
      <c r="O100" s="91"/>
      <c r="P100" s="77"/>
      <c r="Q100" s="95"/>
      <c r="R100" s="95"/>
      <c r="S100" s="95"/>
      <c r="T100" s="95"/>
      <c r="U100" s="95"/>
      <c r="V100" s="95"/>
      <c r="W100" s="95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</row>
    <row r="101" spans="1:34" ht="14.4" customHeight="1" x14ac:dyDescent="0.25">
      <c r="A101" s="77"/>
      <c r="B101" s="77"/>
      <c r="C101" s="77"/>
      <c r="D101" s="77"/>
      <c r="E101" s="77"/>
      <c r="F101" s="77"/>
      <c r="G101" s="90"/>
      <c r="H101" s="91"/>
      <c r="I101" s="91"/>
      <c r="J101" s="77"/>
      <c r="K101" s="77"/>
      <c r="L101" s="77"/>
      <c r="M101" s="77"/>
      <c r="N101" s="91"/>
      <c r="O101" s="91"/>
      <c r="P101" s="77"/>
      <c r="Q101" s="95"/>
      <c r="R101" s="95"/>
      <c r="S101" s="95"/>
      <c r="T101" s="95"/>
      <c r="U101" s="95"/>
      <c r="V101" s="95"/>
      <c r="W101" s="95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</row>
    <row r="102" spans="1:34" ht="14.4" customHeight="1" x14ac:dyDescent="0.25">
      <c r="A102" s="77"/>
      <c r="B102" s="77"/>
      <c r="C102" s="77"/>
      <c r="D102" s="77"/>
      <c r="E102" s="77"/>
      <c r="F102" s="77"/>
      <c r="G102" s="90"/>
      <c r="H102" s="91"/>
      <c r="I102" s="91"/>
      <c r="J102" s="77"/>
      <c r="K102" s="77"/>
      <c r="L102" s="77"/>
      <c r="M102" s="77"/>
      <c r="N102" s="91"/>
      <c r="O102" s="91"/>
      <c r="P102" s="77"/>
      <c r="Q102" s="95"/>
      <c r="R102" s="95"/>
      <c r="S102" s="95"/>
      <c r="T102" s="95"/>
      <c r="U102" s="95"/>
      <c r="V102" s="95"/>
      <c r="W102" s="95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</row>
    <row r="103" spans="1:34" ht="14.4" customHeight="1" x14ac:dyDescent="0.25">
      <c r="A103" s="77"/>
      <c r="B103" s="77"/>
      <c r="C103" s="77"/>
      <c r="D103" s="77"/>
      <c r="E103" s="77"/>
      <c r="F103" s="77"/>
      <c r="G103" s="90"/>
      <c r="H103" s="91"/>
      <c r="I103" s="91"/>
      <c r="J103" s="77"/>
      <c r="K103" s="77"/>
      <c r="L103" s="77"/>
      <c r="M103" s="77"/>
      <c r="N103" s="91"/>
      <c r="O103" s="91"/>
      <c r="P103" s="77"/>
      <c r="Q103" s="95"/>
      <c r="R103" s="95"/>
      <c r="S103" s="95"/>
      <c r="T103" s="95"/>
      <c r="U103" s="95"/>
      <c r="V103" s="95"/>
      <c r="W103" s="95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</row>
    <row r="104" spans="1:34" ht="14.4" customHeight="1" x14ac:dyDescent="0.25">
      <c r="A104" s="77"/>
      <c r="B104" s="77"/>
      <c r="C104" s="77"/>
      <c r="D104" s="77"/>
      <c r="E104" s="77"/>
      <c r="F104" s="77"/>
      <c r="G104" s="90"/>
      <c r="H104" s="91"/>
      <c r="I104" s="91"/>
      <c r="J104" s="77"/>
      <c r="K104" s="77"/>
      <c r="L104" s="77"/>
      <c r="M104" s="77"/>
      <c r="N104" s="91"/>
      <c r="O104" s="91"/>
      <c r="P104" s="77"/>
      <c r="Q104" s="95"/>
      <c r="R104" s="95"/>
      <c r="S104" s="95"/>
      <c r="T104" s="95"/>
      <c r="U104" s="95"/>
      <c r="V104" s="95"/>
      <c r="W104" s="95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</row>
    <row r="105" spans="1:34" ht="12" x14ac:dyDescent="0.25">
      <c r="A105" s="77"/>
      <c r="B105" s="77"/>
      <c r="C105" s="77"/>
      <c r="D105" s="77"/>
      <c r="E105" s="77"/>
      <c r="F105" s="77"/>
      <c r="G105" s="90"/>
      <c r="H105" s="91"/>
      <c r="I105" s="91"/>
      <c r="J105" s="77"/>
      <c r="K105" s="77"/>
      <c r="L105" s="77"/>
      <c r="M105" s="77"/>
      <c r="N105" s="91"/>
      <c r="O105" s="91"/>
      <c r="P105" s="77"/>
      <c r="Q105" s="95"/>
      <c r="R105" s="95"/>
      <c r="S105" s="95"/>
      <c r="T105" s="95"/>
      <c r="U105" s="95"/>
      <c r="V105" s="95"/>
      <c r="W105" s="95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</row>
    <row r="106" spans="1:34" ht="12" x14ac:dyDescent="0.25">
      <c r="A106" s="77"/>
      <c r="B106" s="77"/>
      <c r="C106" s="77"/>
      <c r="D106" s="77"/>
      <c r="E106" s="77"/>
      <c r="F106" s="77"/>
      <c r="G106" s="90"/>
      <c r="H106" s="91"/>
      <c r="I106" s="91"/>
      <c r="J106" s="77"/>
      <c r="K106" s="77"/>
      <c r="L106" s="77"/>
      <c r="M106" s="77"/>
      <c r="N106" s="91"/>
      <c r="O106" s="91"/>
      <c r="P106" s="77"/>
      <c r="Q106" s="95"/>
      <c r="R106" s="95"/>
      <c r="S106" s="95"/>
      <c r="T106" s="95"/>
      <c r="U106" s="95"/>
      <c r="V106" s="95"/>
      <c r="W106" s="95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</row>
    <row r="107" spans="1:34" ht="12" x14ac:dyDescent="0.25">
      <c r="A107" s="77"/>
      <c r="B107" s="77"/>
      <c r="C107" s="77"/>
      <c r="D107" s="77"/>
      <c r="E107" s="77"/>
      <c r="F107" s="77"/>
      <c r="G107" s="90"/>
      <c r="H107" s="91"/>
      <c r="I107" s="91"/>
      <c r="J107" s="77"/>
      <c r="K107" s="77"/>
      <c r="L107" s="77"/>
      <c r="M107" s="77"/>
      <c r="N107" s="91"/>
      <c r="O107" s="91"/>
      <c r="P107" s="77"/>
      <c r="Q107" s="95"/>
      <c r="R107" s="95"/>
      <c r="S107" s="95"/>
      <c r="T107" s="95"/>
      <c r="U107" s="95"/>
      <c r="V107" s="95"/>
      <c r="W107" s="95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</row>
    <row r="108" spans="1:34" ht="12" x14ac:dyDescent="0.25">
      <c r="A108" s="77"/>
      <c r="B108" s="77"/>
      <c r="C108" s="77"/>
      <c r="D108" s="77"/>
      <c r="E108" s="77"/>
      <c r="F108" s="77"/>
      <c r="G108" s="90"/>
      <c r="H108" s="91"/>
      <c r="I108" s="91"/>
      <c r="J108" s="77"/>
      <c r="K108" s="77"/>
      <c r="L108" s="77"/>
      <c r="M108" s="77"/>
      <c r="N108" s="91"/>
      <c r="O108" s="91"/>
      <c r="P108" s="77"/>
      <c r="Q108" s="95"/>
      <c r="R108" s="95"/>
      <c r="S108" s="95"/>
      <c r="T108" s="95"/>
      <c r="U108" s="95"/>
      <c r="V108" s="95"/>
      <c r="W108" s="95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</row>
    <row r="109" spans="1:34" ht="12" x14ac:dyDescent="0.25">
      <c r="A109" s="77"/>
      <c r="B109" s="77"/>
      <c r="C109" s="77"/>
      <c r="D109" s="77"/>
      <c r="E109" s="77"/>
      <c r="F109" s="77"/>
      <c r="G109" s="90"/>
      <c r="H109" s="91"/>
      <c r="I109" s="91"/>
      <c r="J109" s="77"/>
      <c r="K109" s="77"/>
      <c r="L109" s="77"/>
      <c r="M109" s="77"/>
      <c r="N109" s="91"/>
      <c r="O109" s="91"/>
      <c r="P109" s="77"/>
      <c r="Q109" s="95"/>
      <c r="R109" s="95"/>
      <c r="S109" s="95"/>
      <c r="T109" s="95"/>
      <c r="U109" s="95"/>
      <c r="V109" s="95"/>
      <c r="W109" s="95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</row>
    <row r="110" spans="1:34" ht="14.4" customHeight="1" x14ac:dyDescent="0.25">
      <c r="A110" s="77"/>
      <c r="B110" s="77"/>
      <c r="C110" s="77"/>
      <c r="D110" s="77"/>
      <c r="E110" s="77"/>
      <c r="F110" s="77"/>
      <c r="G110" s="90"/>
      <c r="H110" s="91"/>
      <c r="I110" s="91"/>
      <c r="J110" s="77"/>
      <c r="K110" s="77"/>
      <c r="L110" s="77"/>
      <c r="M110" s="77"/>
      <c r="N110" s="91"/>
      <c r="O110" s="91"/>
      <c r="P110" s="77"/>
      <c r="Q110" s="95"/>
      <c r="R110" s="95"/>
      <c r="S110" s="95"/>
      <c r="T110" s="95"/>
      <c r="U110" s="95"/>
      <c r="V110" s="95"/>
      <c r="W110" s="95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</row>
    <row r="111" spans="1:34" ht="14.4" customHeight="1" x14ac:dyDescent="0.25">
      <c r="A111" s="77"/>
      <c r="B111" s="77"/>
      <c r="C111" s="77"/>
      <c r="D111" s="77"/>
      <c r="E111" s="77"/>
      <c r="F111" s="77"/>
      <c r="G111" s="90"/>
      <c r="H111" s="91"/>
      <c r="I111" s="91"/>
      <c r="J111" s="77"/>
      <c r="K111" s="77"/>
      <c r="L111" s="77"/>
      <c r="M111" s="77"/>
      <c r="N111" s="91"/>
      <c r="O111" s="91"/>
      <c r="P111" s="77"/>
      <c r="Q111" s="95"/>
      <c r="R111" s="95"/>
      <c r="S111" s="95"/>
      <c r="T111" s="95"/>
      <c r="U111" s="95"/>
      <c r="V111" s="95"/>
      <c r="W111" s="95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</row>
    <row r="112" spans="1:34" ht="14.4" customHeight="1" x14ac:dyDescent="0.25">
      <c r="A112" s="77"/>
      <c r="B112" s="77"/>
      <c r="C112" s="77"/>
      <c r="D112" s="77"/>
      <c r="E112" s="77"/>
      <c r="F112" s="77"/>
      <c r="G112" s="90"/>
      <c r="H112" s="91"/>
      <c r="I112" s="91"/>
      <c r="J112" s="77"/>
      <c r="K112" s="77"/>
      <c r="L112" s="77"/>
      <c r="M112" s="77"/>
      <c r="N112" s="91"/>
      <c r="O112" s="91"/>
      <c r="P112" s="77"/>
      <c r="Q112" s="95"/>
      <c r="R112" s="95"/>
      <c r="S112" s="95"/>
      <c r="T112" s="95"/>
      <c r="U112" s="95"/>
      <c r="V112" s="95"/>
      <c r="W112" s="95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</row>
    <row r="113" spans="1:34" ht="14.4" customHeight="1" x14ac:dyDescent="0.25">
      <c r="A113" s="77"/>
      <c r="B113" s="77"/>
      <c r="C113" s="77"/>
      <c r="D113" s="77"/>
      <c r="E113" s="77"/>
      <c r="F113" s="77"/>
      <c r="G113" s="90"/>
      <c r="H113" s="91"/>
      <c r="I113" s="91"/>
      <c r="J113" s="77"/>
      <c r="K113" s="77"/>
      <c r="L113" s="77"/>
      <c r="M113" s="77"/>
      <c r="N113" s="91"/>
      <c r="O113" s="91"/>
      <c r="P113" s="77"/>
      <c r="Q113" s="95"/>
      <c r="R113" s="95"/>
      <c r="S113" s="95"/>
      <c r="T113" s="95"/>
      <c r="U113" s="95"/>
      <c r="V113" s="95"/>
      <c r="W113" s="95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</row>
    <row r="114" spans="1:34" ht="14.4" customHeight="1" x14ac:dyDescent="0.25">
      <c r="A114" s="77"/>
      <c r="B114" s="77"/>
      <c r="C114" s="77"/>
      <c r="D114" s="77"/>
      <c r="E114" s="77"/>
      <c r="F114" s="77"/>
      <c r="G114" s="90"/>
      <c r="H114" s="91"/>
      <c r="I114" s="91"/>
      <c r="J114" s="77"/>
      <c r="K114" s="77"/>
      <c r="L114" s="77"/>
      <c r="M114" s="77"/>
      <c r="N114" s="91"/>
      <c r="O114" s="91"/>
      <c r="P114" s="77"/>
      <c r="Q114" s="95"/>
      <c r="R114" s="95"/>
      <c r="S114" s="95"/>
      <c r="T114" s="95"/>
      <c r="U114" s="95"/>
      <c r="V114" s="95"/>
      <c r="W114" s="95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</row>
    <row r="115" spans="1:34" ht="14.4" customHeight="1" x14ac:dyDescent="0.25">
      <c r="A115" s="77"/>
      <c r="B115" s="77"/>
      <c r="C115" s="77"/>
      <c r="D115" s="77"/>
      <c r="E115" s="77"/>
      <c r="F115" s="77"/>
      <c r="G115" s="90"/>
      <c r="H115" s="91"/>
      <c r="I115" s="91"/>
      <c r="J115" s="77"/>
      <c r="K115" s="77"/>
      <c r="L115" s="77"/>
      <c r="M115" s="77"/>
      <c r="N115" s="91"/>
      <c r="O115" s="91"/>
      <c r="P115" s="77"/>
      <c r="Q115" s="95"/>
      <c r="R115" s="95"/>
      <c r="S115" s="95"/>
      <c r="T115" s="95"/>
      <c r="U115" s="95"/>
      <c r="V115" s="95"/>
      <c r="W115" s="95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</row>
    <row r="116" spans="1:34" ht="14.4" customHeight="1" x14ac:dyDescent="0.25">
      <c r="A116" s="77"/>
      <c r="B116" s="77"/>
      <c r="C116" s="77"/>
      <c r="D116" s="77"/>
      <c r="E116" s="77"/>
      <c r="F116" s="77"/>
      <c r="G116" s="90"/>
      <c r="H116" s="91"/>
      <c r="I116" s="91"/>
      <c r="J116" s="77"/>
      <c r="K116" s="77"/>
      <c r="L116" s="77"/>
      <c r="M116" s="77"/>
      <c r="N116" s="91"/>
      <c r="O116" s="91"/>
      <c r="P116" s="77"/>
      <c r="Q116" s="95"/>
      <c r="R116" s="95"/>
      <c r="S116" s="95"/>
      <c r="T116" s="95"/>
      <c r="U116" s="95"/>
      <c r="V116" s="95"/>
      <c r="W116" s="95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</row>
    <row r="117" spans="1:34" ht="14.4" customHeight="1" x14ac:dyDescent="0.25">
      <c r="A117" s="77"/>
      <c r="B117" s="77"/>
      <c r="C117" s="77"/>
      <c r="D117" s="77"/>
      <c r="E117" s="77"/>
      <c r="F117" s="77"/>
      <c r="G117" s="90"/>
      <c r="H117" s="91"/>
      <c r="I117" s="91"/>
      <c r="J117" s="77"/>
      <c r="K117" s="77"/>
      <c r="L117" s="77"/>
      <c r="M117" s="77"/>
      <c r="N117" s="91"/>
      <c r="O117" s="91"/>
      <c r="P117" s="77"/>
      <c r="Q117" s="95"/>
      <c r="R117" s="95"/>
      <c r="S117" s="95"/>
      <c r="T117" s="95"/>
      <c r="U117" s="95"/>
      <c r="V117" s="95"/>
      <c r="W117" s="95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</row>
    <row r="118" spans="1:34" ht="14.4" customHeight="1" x14ac:dyDescent="0.25">
      <c r="A118" s="77"/>
      <c r="B118" s="77"/>
      <c r="C118" s="77"/>
      <c r="D118" s="77"/>
      <c r="E118" s="77"/>
      <c r="F118" s="77"/>
      <c r="G118" s="90"/>
      <c r="H118" s="91"/>
      <c r="I118" s="91"/>
      <c r="J118" s="77"/>
      <c r="K118" s="77"/>
      <c r="L118" s="77"/>
      <c r="M118" s="77"/>
      <c r="N118" s="91"/>
      <c r="O118" s="91"/>
      <c r="P118" s="77"/>
      <c r="Q118" s="95"/>
      <c r="R118" s="95"/>
      <c r="S118" s="95"/>
      <c r="T118" s="95"/>
      <c r="U118" s="95"/>
      <c r="V118" s="95"/>
      <c r="W118" s="95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</row>
    <row r="119" spans="1:34" ht="14.4" customHeight="1" x14ac:dyDescent="0.25">
      <c r="A119" s="77"/>
      <c r="B119" s="77"/>
      <c r="C119" s="77"/>
      <c r="D119" s="77"/>
      <c r="E119" s="77"/>
      <c r="F119" s="77"/>
      <c r="G119" s="90"/>
      <c r="H119" s="91"/>
      <c r="I119" s="91"/>
      <c r="J119" s="77"/>
      <c r="K119" s="77"/>
      <c r="L119" s="77"/>
      <c r="M119" s="77"/>
      <c r="N119" s="91"/>
      <c r="O119" s="91"/>
      <c r="P119" s="77"/>
      <c r="Q119" s="95"/>
      <c r="R119" s="95"/>
      <c r="S119" s="95"/>
      <c r="T119" s="95"/>
      <c r="U119" s="95"/>
      <c r="V119" s="95"/>
      <c r="W119" s="95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</row>
    <row r="120" spans="1:34" ht="14.4" customHeight="1" x14ac:dyDescent="0.25">
      <c r="A120" s="77"/>
      <c r="B120" s="77"/>
      <c r="C120" s="77"/>
      <c r="D120" s="77"/>
      <c r="E120" s="77"/>
      <c r="F120" s="77"/>
      <c r="G120" s="90"/>
      <c r="H120" s="91"/>
      <c r="I120" s="91"/>
      <c r="J120" s="77"/>
      <c r="K120" s="77"/>
      <c r="L120" s="77"/>
      <c r="M120" s="77"/>
      <c r="N120" s="91"/>
      <c r="O120" s="91"/>
      <c r="P120" s="77"/>
      <c r="Q120" s="95"/>
      <c r="R120" s="95"/>
      <c r="S120" s="95"/>
      <c r="T120" s="95"/>
      <c r="U120" s="95"/>
      <c r="V120" s="95"/>
      <c r="W120" s="95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</row>
    <row r="121" spans="1:34" ht="14.4" customHeight="1" x14ac:dyDescent="0.25">
      <c r="A121" s="77"/>
      <c r="B121" s="77"/>
      <c r="C121" s="77"/>
      <c r="D121" s="77"/>
      <c r="E121" s="77"/>
      <c r="F121" s="77"/>
      <c r="G121" s="90"/>
      <c r="H121" s="91"/>
      <c r="I121" s="91"/>
      <c r="J121" s="77"/>
      <c r="K121" s="77"/>
      <c r="L121" s="77"/>
      <c r="M121" s="77"/>
      <c r="N121" s="91"/>
      <c r="O121" s="91"/>
      <c r="P121" s="77"/>
      <c r="Q121" s="95"/>
      <c r="R121" s="95"/>
      <c r="S121" s="95"/>
      <c r="T121" s="95"/>
      <c r="U121" s="95"/>
      <c r="V121" s="95"/>
      <c r="W121" s="95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</row>
    <row r="122" spans="1:34" ht="14.4" customHeight="1" x14ac:dyDescent="0.25">
      <c r="A122" s="77"/>
      <c r="B122" s="77"/>
      <c r="C122" s="77"/>
      <c r="D122" s="77"/>
      <c r="E122" s="77"/>
      <c r="F122" s="77"/>
      <c r="G122" s="90"/>
      <c r="H122" s="91"/>
      <c r="I122" s="91"/>
      <c r="J122" s="77"/>
      <c r="K122" s="77"/>
      <c r="L122" s="77"/>
      <c r="M122" s="77"/>
      <c r="N122" s="91"/>
      <c r="O122" s="91"/>
      <c r="P122" s="77"/>
      <c r="Q122" s="95"/>
      <c r="R122" s="95"/>
      <c r="S122" s="95"/>
      <c r="T122" s="95"/>
      <c r="U122" s="95"/>
      <c r="V122" s="95"/>
      <c r="W122" s="95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</row>
    <row r="123" spans="1:34" ht="14.4" customHeight="1" x14ac:dyDescent="0.25">
      <c r="A123" s="77"/>
      <c r="B123" s="77"/>
      <c r="C123" s="77"/>
      <c r="D123" s="77"/>
      <c r="E123" s="77"/>
      <c r="F123" s="77"/>
      <c r="G123" s="90"/>
      <c r="H123" s="91"/>
      <c r="I123" s="91"/>
      <c r="J123" s="77"/>
      <c r="K123" s="77"/>
      <c r="L123" s="77"/>
      <c r="M123" s="77"/>
      <c r="N123" s="91"/>
      <c r="O123" s="91"/>
      <c r="P123" s="77"/>
      <c r="Q123" s="95"/>
      <c r="R123" s="95"/>
      <c r="S123" s="95"/>
      <c r="T123" s="95"/>
      <c r="U123" s="95"/>
      <c r="V123" s="95"/>
      <c r="W123" s="95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</row>
    <row r="124" spans="1:34" ht="14.4" customHeight="1" x14ac:dyDescent="0.25">
      <c r="A124" s="77"/>
      <c r="B124" s="77"/>
      <c r="C124" s="77"/>
      <c r="D124" s="77"/>
      <c r="E124" s="77"/>
      <c r="F124" s="77"/>
      <c r="G124" s="90"/>
      <c r="H124" s="91"/>
      <c r="I124" s="91"/>
      <c r="J124" s="77"/>
      <c r="K124" s="77"/>
      <c r="L124" s="77"/>
      <c r="M124" s="77"/>
      <c r="N124" s="91"/>
      <c r="O124" s="91"/>
      <c r="P124" s="77"/>
      <c r="Q124" s="95"/>
      <c r="R124" s="95"/>
      <c r="S124" s="95"/>
      <c r="T124" s="95"/>
      <c r="U124" s="95"/>
      <c r="V124" s="95"/>
      <c r="W124" s="95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</row>
    <row r="125" spans="1:34" ht="14.4" customHeight="1" x14ac:dyDescent="0.25">
      <c r="A125" s="77"/>
      <c r="B125" s="77"/>
      <c r="C125" s="77"/>
      <c r="D125" s="77"/>
      <c r="E125" s="77"/>
      <c r="F125" s="77"/>
      <c r="G125" s="90"/>
      <c r="H125" s="91"/>
      <c r="I125" s="91"/>
      <c r="J125" s="77"/>
      <c r="K125" s="77"/>
      <c r="L125" s="77"/>
      <c r="M125" s="77"/>
      <c r="N125" s="91"/>
      <c r="O125" s="91"/>
      <c r="P125" s="77"/>
      <c r="Q125" s="95"/>
      <c r="R125" s="95"/>
      <c r="S125" s="95"/>
      <c r="T125" s="95"/>
      <c r="U125" s="95"/>
      <c r="V125" s="95"/>
      <c r="W125" s="95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</row>
    <row r="126" spans="1:34" ht="14.4" customHeight="1" x14ac:dyDescent="0.25">
      <c r="A126" s="77"/>
      <c r="B126" s="77"/>
      <c r="C126" s="77"/>
      <c r="D126" s="77"/>
      <c r="E126" s="77"/>
      <c r="F126" s="77"/>
      <c r="G126" s="90"/>
      <c r="H126" s="91"/>
      <c r="I126" s="91"/>
      <c r="J126" s="77"/>
      <c r="K126" s="77"/>
      <c r="L126" s="77"/>
      <c r="M126" s="77"/>
      <c r="N126" s="91"/>
      <c r="O126" s="91"/>
      <c r="P126" s="77"/>
      <c r="Q126" s="95"/>
      <c r="R126" s="95"/>
      <c r="S126" s="95"/>
      <c r="T126" s="95"/>
      <c r="U126" s="95"/>
      <c r="V126" s="95"/>
      <c r="W126" s="95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</row>
    <row r="127" spans="1:34" ht="14.4" customHeight="1" x14ac:dyDescent="0.25">
      <c r="A127" s="77"/>
      <c r="B127" s="77"/>
      <c r="C127" s="77"/>
      <c r="D127" s="77"/>
      <c r="E127" s="77"/>
      <c r="F127" s="77"/>
      <c r="G127" s="90"/>
      <c r="H127" s="91"/>
      <c r="I127" s="91"/>
      <c r="J127" s="77"/>
      <c r="K127" s="77"/>
      <c r="L127" s="77"/>
      <c r="M127" s="77"/>
      <c r="N127" s="91"/>
      <c r="O127" s="91"/>
      <c r="P127" s="77"/>
      <c r="Q127" s="95"/>
      <c r="R127" s="95"/>
      <c r="S127" s="95"/>
      <c r="T127" s="95"/>
      <c r="U127" s="95"/>
      <c r="V127" s="95"/>
      <c r="W127" s="95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</row>
    <row r="128" spans="1:34" ht="14.4" customHeight="1" x14ac:dyDescent="0.25">
      <c r="A128" s="77"/>
      <c r="B128" s="77"/>
      <c r="C128" s="77"/>
      <c r="D128" s="77"/>
      <c r="E128" s="77"/>
      <c r="F128" s="77"/>
      <c r="G128" s="90"/>
      <c r="H128" s="91"/>
      <c r="I128" s="91"/>
      <c r="J128" s="77"/>
      <c r="K128" s="77"/>
      <c r="L128" s="77"/>
      <c r="M128" s="77"/>
      <c r="N128" s="91"/>
      <c r="O128" s="91"/>
      <c r="P128" s="77"/>
      <c r="Q128" s="95"/>
      <c r="R128" s="95"/>
      <c r="S128" s="95"/>
      <c r="T128" s="95"/>
      <c r="U128" s="95"/>
      <c r="V128" s="95"/>
      <c r="W128" s="95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</row>
    <row r="129" spans="1:34" ht="14.4" customHeight="1" x14ac:dyDescent="0.25">
      <c r="A129" s="77"/>
      <c r="B129" s="77"/>
      <c r="C129" s="77"/>
      <c r="D129" s="77"/>
      <c r="E129" s="77"/>
      <c r="F129" s="77"/>
      <c r="G129" s="90"/>
      <c r="H129" s="91"/>
      <c r="I129" s="91"/>
      <c r="J129" s="77"/>
      <c r="K129" s="77"/>
      <c r="L129" s="77"/>
      <c r="M129" s="77"/>
      <c r="N129" s="91"/>
      <c r="O129" s="91"/>
      <c r="P129" s="77"/>
      <c r="Q129" s="95"/>
      <c r="R129" s="95"/>
      <c r="S129" s="95"/>
      <c r="T129" s="95"/>
      <c r="U129" s="95"/>
      <c r="V129" s="95"/>
      <c r="W129" s="95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</row>
    <row r="130" spans="1:34" ht="14.4" customHeight="1" x14ac:dyDescent="0.25">
      <c r="A130" s="77"/>
      <c r="B130" s="77"/>
      <c r="C130" s="77"/>
      <c r="D130" s="77"/>
      <c r="E130" s="77"/>
      <c r="F130" s="77"/>
      <c r="G130" s="90"/>
      <c r="H130" s="91"/>
      <c r="I130" s="91"/>
      <c r="J130" s="77"/>
      <c r="K130" s="77"/>
      <c r="L130" s="77"/>
      <c r="M130" s="77"/>
      <c r="N130" s="91"/>
      <c r="O130" s="91"/>
      <c r="P130" s="77"/>
      <c r="Q130" s="95"/>
      <c r="R130" s="95"/>
      <c r="S130" s="95"/>
      <c r="T130" s="95"/>
      <c r="U130" s="95"/>
      <c r="V130" s="95"/>
      <c r="W130" s="95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</row>
    <row r="131" spans="1:34" ht="14.4" customHeight="1" x14ac:dyDescent="0.25">
      <c r="A131" s="77"/>
      <c r="B131" s="77"/>
      <c r="C131" s="77"/>
      <c r="D131" s="77"/>
      <c r="E131" s="77"/>
      <c r="F131" s="77"/>
      <c r="G131" s="90"/>
      <c r="H131" s="91"/>
      <c r="I131" s="91"/>
      <c r="J131" s="77"/>
      <c r="K131" s="77"/>
      <c r="L131" s="77"/>
      <c r="M131" s="77"/>
      <c r="N131" s="91"/>
      <c r="O131" s="91"/>
      <c r="P131" s="77"/>
      <c r="Q131" s="95"/>
      <c r="R131" s="95"/>
      <c r="S131" s="95"/>
      <c r="T131" s="95"/>
      <c r="U131" s="95"/>
      <c r="V131" s="95"/>
      <c r="W131" s="95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</row>
    <row r="132" spans="1:34" ht="14.4" customHeight="1" x14ac:dyDescent="0.25">
      <c r="A132" s="77"/>
      <c r="B132" s="77"/>
      <c r="C132" s="77"/>
      <c r="D132" s="77"/>
      <c r="E132" s="77"/>
      <c r="F132" s="77"/>
      <c r="G132" s="90"/>
      <c r="H132" s="91"/>
      <c r="I132" s="91"/>
      <c r="J132" s="77"/>
      <c r="K132" s="77"/>
      <c r="L132" s="77"/>
      <c r="M132" s="77"/>
      <c r="N132" s="91"/>
      <c r="O132" s="91"/>
      <c r="P132" s="77"/>
      <c r="Q132" s="95"/>
      <c r="R132" s="95"/>
      <c r="S132" s="95"/>
      <c r="T132" s="95"/>
      <c r="U132" s="95"/>
      <c r="V132" s="95"/>
      <c r="W132" s="95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</row>
    <row r="133" spans="1:34" ht="14.4" customHeight="1" x14ac:dyDescent="0.25">
      <c r="A133" s="77"/>
      <c r="B133" s="77"/>
      <c r="C133" s="77"/>
      <c r="D133" s="77"/>
      <c r="E133" s="77"/>
      <c r="F133" s="77"/>
      <c r="G133" s="90"/>
      <c r="H133" s="91"/>
      <c r="I133" s="91"/>
      <c r="J133" s="77"/>
      <c r="K133" s="77"/>
      <c r="L133" s="77"/>
      <c r="M133" s="77"/>
      <c r="N133" s="91"/>
      <c r="O133" s="91"/>
      <c r="P133" s="77"/>
      <c r="Q133" s="95"/>
      <c r="R133" s="95"/>
      <c r="S133" s="95"/>
      <c r="T133" s="95"/>
      <c r="U133" s="95"/>
      <c r="V133" s="95"/>
      <c r="W133" s="95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</row>
    <row r="134" spans="1:34" ht="14.4" customHeight="1" x14ac:dyDescent="0.25">
      <c r="A134" s="77"/>
      <c r="B134" s="77"/>
      <c r="C134" s="77"/>
      <c r="D134" s="77"/>
      <c r="E134" s="77"/>
      <c r="F134" s="77"/>
      <c r="G134" s="90"/>
      <c r="H134" s="91"/>
      <c r="I134" s="91"/>
      <c r="J134" s="77"/>
      <c r="K134" s="77"/>
      <c r="L134" s="77"/>
      <c r="M134" s="77"/>
      <c r="N134" s="91"/>
      <c r="O134" s="91"/>
      <c r="P134" s="77"/>
      <c r="Q134" s="95"/>
      <c r="R134" s="95"/>
      <c r="S134" s="95"/>
      <c r="T134" s="95"/>
      <c r="U134" s="95"/>
      <c r="V134" s="95"/>
      <c r="W134" s="95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</row>
    <row r="135" spans="1:34" ht="14.4" customHeight="1" x14ac:dyDescent="0.25">
      <c r="A135" s="77"/>
      <c r="B135" s="77"/>
      <c r="C135" s="77"/>
      <c r="D135" s="77"/>
      <c r="E135" s="77"/>
      <c r="F135" s="77"/>
      <c r="G135" s="90"/>
      <c r="H135" s="91"/>
      <c r="I135" s="91"/>
      <c r="J135" s="77"/>
      <c r="K135" s="77"/>
      <c r="L135" s="77"/>
      <c r="M135" s="77"/>
      <c r="N135" s="91"/>
      <c r="O135" s="91"/>
      <c r="P135" s="77"/>
      <c r="Q135" s="95"/>
      <c r="R135" s="95"/>
      <c r="S135" s="95"/>
      <c r="T135" s="95"/>
      <c r="U135" s="95"/>
      <c r="V135" s="95"/>
      <c r="W135" s="95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</row>
    <row r="136" spans="1:34" ht="14.4" customHeight="1" x14ac:dyDescent="0.25">
      <c r="A136" s="77"/>
      <c r="B136" s="77"/>
      <c r="C136" s="77"/>
      <c r="D136" s="77"/>
      <c r="E136" s="77"/>
      <c r="F136" s="77"/>
      <c r="G136" s="90"/>
      <c r="H136" s="91"/>
      <c r="I136" s="91"/>
      <c r="J136" s="77"/>
      <c r="K136" s="77"/>
      <c r="L136" s="77"/>
      <c r="M136" s="77"/>
      <c r="N136" s="91"/>
      <c r="O136" s="91"/>
      <c r="P136" s="77"/>
      <c r="Q136" s="95"/>
      <c r="R136" s="95"/>
      <c r="S136" s="95"/>
      <c r="T136" s="95"/>
      <c r="U136" s="95"/>
      <c r="V136" s="95"/>
      <c r="W136" s="95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</row>
    <row r="137" spans="1:34" ht="14.4" customHeight="1" x14ac:dyDescent="0.25">
      <c r="A137" s="77"/>
      <c r="B137" s="77"/>
      <c r="C137" s="77"/>
      <c r="D137" s="77"/>
      <c r="E137" s="77"/>
      <c r="F137" s="77"/>
      <c r="G137" s="90"/>
      <c r="H137" s="91"/>
      <c r="I137" s="91"/>
      <c r="J137" s="77"/>
      <c r="K137" s="77"/>
      <c r="L137" s="77"/>
      <c r="M137" s="77"/>
      <c r="N137" s="91"/>
      <c r="O137" s="91"/>
      <c r="P137" s="77"/>
      <c r="Q137" s="95"/>
      <c r="R137" s="95"/>
      <c r="S137" s="95"/>
      <c r="T137" s="95"/>
      <c r="U137" s="95"/>
      <c r="V137" s="95"/>
      <c r="W137" s="95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</row>
    <row r="138" spans="1:34" ht="14.4" customHeight="1" x14ac:dyDescent="0.25">
      <c r="A138" s="77"/>
      <c r="B138" s="77"/>
      <c r="C138" s="77"/>
      <c r="D138" s="77"/>
      <c r="E138" s="77"/>
      <c r="F138" s="77"/>
      <c r="G138" s="90"/>
      <c r="H138" s="91"/>
      <c r="I138" s="91"/>
      <c r="J138" s="77"/>
      <c r="K138" s="77"/>
      <c r="L138" s="77"/>
      <c r="M138" s="77"/>
      <c r="N138" s="91"/>
      <c r="O138" s="91"/>
      <c r="P138" s="77"/>
      <c r="Q138" s="95"/>
      <c r="R138" s="95"/>
      <c r="S138" s="95"/>
      <c r="T138" s="95"/>
      <c r="U138" s="95"/>
      <c r="V138" s="95"/>
      <c r="W138" s="95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</row>
    <row r="139" spans="1:34" ht="14.4" customHeight="1" x14ac:dyDescent="0.25">
      <c r="A139" s="77"/>
      <c r="B139" s="77"/>
      <c r="C139" s="77"/>
      <c r="D139" s="77"/>
      <c r="E139" s="77"/>
      <c r="F139" s="77"/>
      <c r="G139" s="90"/>
      <c r="H139" s="91"/>
      <c r="I139" s="91"/>
      <c r="J139" s="77"/>
      <c r="K139" s="77"/>
      <c r="L139" s="77"/>
      <c r="M139" s="77"/>
      <c r="N139" s="91"/>
      <c r="O139" s="91"/>
      <c r="P139" s="77"/>
      <c r="Q139" s="95"/>
      <c r="R139" s="95"/>
      <c r="S139" s="95"/>
      <c r="T139" s="95"/>
      <c r="U139" s="95"/>
      <c r="V139" s="95"/>
      <c r="W139" s="95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</row>
    <row r="140" spans="1:34" ht="14.4" customHeight="1" x14ac:dyDescent="0.25">
      <c r="A140" s="77"/>
      <c r="B140" s="77"/>
      <c r="C140" s="77"/>
      <c r="D140" s="77"/>
      <c r="E140" s="77"/>
      <c r="F140" s="77"/>
      <c r="G140" s="90"/>
      <c r="H140" s="91"/>
      <c r="I140" s="91"/>
      <c r="J140" s="77"/>
      <c r="K140" s="77"/>
      <c r="L140" s="77"/>
      <c r="M140" s="77"/>
      <c r="N140" s="91"/>
      <c r="O140" s="91"/>
      <c r="P140" s="77"/>
      <c r="Q140" s="95"/>
      <c r="R140" s="95"/>
      <c r="S140" s="95"/>
      <c r="T140" s="95"/>
      <c r="U140" s="95"/>
      <c r="V140" s="95"/>
      <c r="W140" s="95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</row>
    <row r="141" spans="1:34" ht="14.4" customHeight="1" x14ac:dyDescent="0.25">
      <c r="A141" s="77"/>
      <c r="B141" s="77"/>
      <c r="C141" s="77"/>
      <c r="D141" s="77"/>
      <c r="E141" s="77"/>
      <c r="F141" s="77"/>
      <c r="G141" s="90"/>
      <c r="H141" s="91"/>
      <c r="I141" s="91"/>
      <c r="J141" s="77"/>
      <c r="K141" s="77"/>
      <c r="L141" s="77"/>
      <c r="M141" s="77"/>
      <c r="N141" s="91"/>
      <c r="O141" s="91"/>
      <c r="P141" s="77"/>
      <c r="Q141" s="95"/>
      <c r="R141" s="95"/>
      <c r="S141" s="95"/>
      <c r="T141" s="95"/>
      <c r="U141" s="95"/>
      <c r="V141" s="95"/>
      <c r="W141" s="95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</row>
    <row r="142" spans="1:34" ht="14.4" customHeight="1" x14ac:dyDescent="0.25">
      <c r="A142" s="77"/>
      <c r="B142" s="77"/>
      <c r="C142" s="77"/>
      <c r="D142" s="77"/>
      <c r="E142" s="77"/>
      <c r="F142" s="77"/>
      <c r="G142" s="90"/>
      <c r="H142" s="91"/>
      <c r="I142" s="91"/>
      <c r="J142" s="77"/>
      <c r="K142" s="77"/>
      <c r="L142" s="77"/>
      <c r="M142" s="77"/>
      <c r="N142" s="91"/>
      <c r="O142" s="91"/>
      <c r="P142" s="77"/>
      <c r="Q142" s="95"/>
      <c r="R142" s="95"/>
      <c r="S142" s="95"/>
      <c r="T142" s="95"/>
      <c r="U142" s="95"/>
      <c r="V142" s="95"/>
      <c r="W142" s="95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</row>
    <row r="143" spans="1:34" ht="14.4" customHeight="1" x14ac:dyDescent="0.25">
      <c r="A143" s="77"/>
      <c r="B143" s="77"/>
      <c r="C143" s="77"/>
      <c r="D143" s="77"/>
      <c r="E143" s="77"/>
      <c r="F143" s="77"/>
      <c r="G143" s="90"/>
      <c r="H143" s="91"/>
      <c r="I143" s="91"/>
      <c r="J143" s="77"/>
      <c r="K143" s="77"/>
      <c r="L143" s="77"/>
      <c r="M143" s="77"/>
      <c r="N143" s="91"/>
      <c r="O143" s="91"/>
      <c r="P143" s="77"/>
      <c r="Q143" s="95"/>
      <c r="R143" s="95"/>
      <c r="S143" s="95"/>
      <c r="T143" s="95"/>
      <c r="U143" s="95"/>
      <c r="V143" s="95"/>
      <c r="W143" s="95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</row>
    <row r="144" spans="1:34" ht="14.4" customHeight="1" x14ac:dyDescent="0.25">
      <c r="A144" s="77"/>
      <c r="B144" s="77"/>
      <c r="C144" s="77"/>
      <c r="D144" s="77"/>
      <c r="E144" s="77"/>
      <c r="F144" s="77"/>
      <c r="G144" s="90"/>
      <c r="H144" s="91"/>
      <c r="I144" s="91"/>
      <c r="J144" s="77"/>
      <c r="K144" s="77"/>
      <c r="L144" s="77"/>
      <c r="M144" s="77"/>
      <c r="N144" s="91"/>
      <c r="O144" s="91"/>
      <c r="P144" s="77"/>
      <c r="Q144" s="95"/>
      <c r="R144" s="95"/>
      <c r="S144" s="95"/>
      <c r="T144" s="95"/>
      <c r="U144" s="95"/>
      <c r="V144" s="95"/>
      <c r="W144" s="95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</row>
    <row r="145" spans="1:34" ht="14.4" customHeight="1" x14ac:dyDescent="0.25">
      <c r="A145" s="77"/>
      <c r="B145" s="77"/>
      <c r="C145" s="77"/>
      <c r="D145" s="77"/>
      <c r="E145" s="77"/>
      <c r="F145" s="77"/>
      <c r="G145" s="90"/>
      <c r="H145" s="91"/>
      <c r="I145" s="91"/>
      <c r="J145" s="77"/>
      <c r="K145" s="77"/>
      <c r="L145" s="77"/>
      <c r="M145" s="77"/>
      <c r="N145" s="91"/>
      <c r="O145" s="91"/>
      <c r="P145" s="77"/>
      <c r="Q145" s="95"/>
      <c r="R145" s="95"/>
      <c r="S145" s="95"/>
      <c r="T145" s="95"/>
      <c r="U145" s="95"/>
      <c r="V145" s="95"/>
      <c r="W145" s="95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</row>
    <row r="146" spans="1:34" ht="14.4" customHeight="1" x14ac:dyDescent="0.25">
      <c r="A146" s="77"/>
      <c r="B146" s="77"/>
      <c r="C146" s="77"/>
      <c r="D146" s="77"/>
      <c r="E146" s="77"/>
      <c r="F146" s="77"/>
      <c r="G146" s="90"/>
      <c r="H146" s="91"/>
      <c r="I146" s="91"/>
      <c r="J146" s="77"/>
      <c r="K146" s="77"/>
      <c r="L146" s="77"/>
      <c r="M146" s="77"/>
      <c r="N146" s="91"/>
      <c r="O146" s="91"/>
      <c r="P146" s="77"/>
      <c r="Q146" s="95"/>
      <c r="R146" s="95"/>
      <c r="S146" s="95"/>
      <c r="T146" s="95"/>
      <c r="U146" s="95"/>
      <c r="V146" s="95"/>
      <c r="W146" s="95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</row>
    <row r="147" spans="1:34" ht="14.4" customHeight="1" x14ac:dyDescent="0.25">
      <c r="A147" s="77"/>
      <c r="B147" s="77"/>
      <c r="C147" s="77"/>
      <c r="D147" s="77"/>
      <c r="E147" s="77"/>
      <c r="F147" s="77"/>
      <c r="G147" s="90"/>
      <c r="H147" s="91"/>
      <c r="I147" s="91"/>
      <c r="J147" s="77"/>
      <c r="K147" s="77"/>
      <c r="L147" s="77"/>
      <c r="M147" s="77"/>
      <c r="N147" s="91"/>
      <c r="O147" s="91"/>
      <c r="P147" s="77"/>
      <c r="Q147" s="95"/>
      <c r="R147" s="95"/>
      <c r="S147" s="95"/>
      <c r="T147" s="95"/>
      <c r="U147" s="95"/>
      <c r="V147" s="95"/>
      <c r="W147" s="95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</row>
    <row r="148" spans="1:34" ht="14.4" customHeight="1" x14ac:dyDescent="0.25">
      <c r="A148" s="77"/>
      <c r="B148" s="77"/>
      <c r="C148" s="77"/>
      <c r="D148" s="77"/>
      <c r="E148" s="77"/>
      <c r="F148" s="77"/>
      <c r="G148" s="90"/>
      <c r="H148" s="91"/>
      <c r="I148" s="91"/>
      <c r="J148" s="77"/>
      <c r="K148" s="77"/>
      <c r="L148" s="77"/>
      <c r="M148" s="77"/>
      <c r="N148" s="91"/>
      <c r="O148" s="91"/>
      <c r="P148" s="77"/>
      <c r="Q148" s="95"/>
      <c r="R148" s="95"/>
      <c r="S148" s="95"/>
      <c r="T148" s="95"/>
      <c r="U148" s="95"/>
      <c r="V148" s="95"/>
      <c r="W148" s="95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</row>
    <row r="149" spans="1:34" ht="14.4" customHeight="1" x14ac:dyDescent="0.25">
      <c r="A149" s="77"/>
      <c r="B149" s="77"/>
      <c r="C149" s="77"/>
      <c r="D149" s="77"/>
      <c r="E149" s="77"/>
      <c r="F149" s="77"/>
      <c r="G149" s="90"/>
      <c r="H149" s="91"/>
      <c r="I149" s="91"/>
      <c r="J149" s="77"/>
      <c r="K149" s="77"/>
      <c r="L149" s="77"/>
      <c r="M149" s="77"/>
      <c r="N149" s="91"/>
      <c r="O149" s="91"/>
      <c r="P149" s="77"/>
      <c r="Q149" s="95"/>
      <c r="R149" s="95"/>
      <c r="S149" s="95"/>
      <c r="T149" s="95"/>
      <c r="U149" s="95"/>
      <c r="V149" s="95"/>
      <c r="W149" s="95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</row>
    <row r="150" spans="1:34" ht="14.4" customHeight="1" x14ac:dyDescent="0.25">
      <c r="A150" s="77"/>
      <c r="B150" s="77"/>
      <c r="C150" s="77"/>
      <c r="D150" s="77"/>
      <c r="E150" s="77"/>
      <c r="F150" s="77"/>
      <c r="G150" s="90"/>
      <c r="H150" s="91"/>
      <c r="I150" s="91"/>
      <c r="J150" s="77"/>
      <c r="K150" s="77"/>
      <c r="L150" s="77"/>
      <c r="M150" s="77"/>
      <c r="N150" s="91"/>
      <c r="O150" s="91"/>
      <c r="P150" s="77"/>
      <c r="Q150" s="95"/>
      <c r="R150" s="95"/>
      <c r="S150" s="95"/>
      <c r="T150" s="95"/>
      <c r="U150" s="95"/>
      <c r="V150" s="95"/>
      <c r="W150" s="95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</row>
    <row r="151" spans="1:34" ht="14.4" customHeight="1" x14ac:dyDescent="0.25">
      <c r="A151" s="77"/>
      <c r="B151" s="77"/>
      <c r="C151" s="77"/>
      <c r="D151" s="77"/>
      <c r="E151" s="77"/>
      <c r="F151" s="77"/>
      <c r="G151" s="90"/>
      <c r="H151" s="91"/>
      <c r="I151" s="91"/>
      <c r="J151" s="77"/>
      <c r="K151" s="77"/>
      <c r="L151" s="77"/>
      <c r="M151" s="77"/>
      <c r="N151" s="91"/>
      <c r="O151" s="91"/>
      <c r="P151" s="77"/>
      <c r="Q151" s="95"/>
      <c r="R151" s="95"/>
      <c r="S151" s="95"/>
      <c r="T151" s="95"/>
      <c r="U151" s="95"/>
      <c r="V151" s="95"/>
      <c r="W151" s="95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</row>
    <row r="152" spans="1:34" ht="14.4" customHeight="1" x14ac:dyDescent="0.25">
      <c r="A152" s="77"/>
      <c r="B152" s="77"/>
      <c r="C152" s="77"/>
      <c r="D152" s="77"/>
      <c r="E152" s="77"/>
      <c r="F152" s="77"/>
      <c r="G152" s="90"/>
      <c r="H152" s="91"/>
      <c r="I152" s="91"/>
      <c r="J152" s="77"/>
      <c r="K152" s="77"/>
      <c r="L152" s="77"/>
      <c r="M152" s="77"/>
      <c r="N152" s="91"/>
      <c r="O152" s="91"/>
      <c r="P152" s="77"/>
      <c r="Q152" s="95"/>
      <c r="R152" s="95"/>
      <c r="S152" s="95"/>
      <c r="T152" s="95"/>
      <c r="U152" s="95"/>
      <c r="V152" s="95"/>
      <c r="W152" s="95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</row>
    <row r="153" spans="1:34" ht="14.4" customHeight="1" x14ac:dyDescent="0.25">
      <c r="A153" s="77"/>
      <c r="B153" s="77"/>
      <c r="C153" s="77"/>
      <c r="D153" s="77"/>
      <c r="E153" s="77"/>
      <c r="F153" s="77"/>
      <c r="G153" s="90"/>
      <c r="H153" s="91"/>
      <c r="I153" s="91"/>
      <c r="J153" s="77"/>
      <c r="K153" s="77"/>
      <c r="L153" s="77"/>
      <c r="M153" s="77"/>
      <c r="N153" s="91"/>
      <c r="O153" s="91"/>
      <c r="P153" s="77"/>
      <c r="Q153" s="95"/>
      <c r="R153" s="95"/>
      <c r="S153" s="95"/>
      <c r="T153" s="95"/>
      <c r="U153" s="95"/>
      <c r="V153" s="95"/>
      <c r="W153" s="95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</row>
    <row r="154" spans="1:34" ht="14.4" customHeight="1" x14ac:dyDescent="0.25">
      <c r="A154" s="77"/>
      <c r="B154" s="77"/>
      <c r="C154" s="77"/>
      <c r="D154" s="77"/>
      <c r="E154" s="77"/>
      <c r="F154" s="77"/>
      <c r="G154" s="90"/>
      <c r="H154" s="91"/>
      <c r="I154" s="91"/>
      <c r="J154" s="77"/>
      <c r="K154" s="77"/>
      <c r="L154" s="77"/>
      <c r="M154" s="77"/>
      <c r="N154" s="91"/>
      <c r="O154" s="91"/>
      <c r="P154" s="77"/>
      <c r="Q154" s="95"/>
      <c r="R154" s="95"/>
      <c r="S154" s="95"/>
      <c r="T154" s="95"/>
      <c r="U154" s="95"/>
      <c r="V154" s="95"/>
      <c r="W154" s="95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</row>
    <row r="155" spans="1:34" ht="14.4" customHeight="1" x14ac:dyDescent="0.25">
      <c r="A155" s="77"/>
      <c r="B155" s="77"/>
      <c r="C155" s="77"/>
      <c r="D155" s="77"/>
      <c r="E155" s="77"/>
      <c r="F155" s="77"/>
      <c r="G155" s="90"/>
      <c r="H155" s="91"/>
      <c r="I155" s="91"/>
      <c r="J155" s="77"/>
      <c r="K155" s="77"/>
      <c r="L155" s="77"/>
      <c r="M155" s="77"/>
      <c r="N155" s="91"/>
      <c r="O155" s="91"/>
      <c r="P155" s="77"/>
      <c r="Q155" s="95"/>
      <c r="R155" s="95"/>
      <c r="S155" s="95"/>
      <c r="T155" s="95"/>
      <c r="U155" s="95"/>
      <c r="V155" s="95"/>
      <c r="W155" s="95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</row>
    <row r="156" spans="1:34" ht="14.4" customHeight="1" x14ac:dyDescent="0.25">
      <c r="A156" s="77"/>
      <c r="B156" s="77"/>
      <c r="C156" s="77"/>
      <c r="D156" s="77"/>
      <c r="E156" s="77"/>
      <c r="F156" s="77"/>
      <c r="G156" s="90"/>
      <c r="H156" s="91"/>
      <c r="I156" s="91"/>
      <c r="J156" s="77"/>
      <c r="K156" s="77"/>
      <c r="L156" s="77"/>
      <c r="M156" s="77"/>
      <c r="N156" s="91"/>
      <c r="O156" s="91"/>
      <c r="P156" s="77"/>
      <c r="Q156" s="95"/>
      <c r="R156" s="95"/>
      <c r="S156" s="95"/>
      <c r="T156" s="95"/>
      <c r="U156" s="95"/>
      <c r="V156" s="95"/>
      <c r="W156" s="95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</row>
    <row r="157" spans="1:34" ht="14.4" customHeight="1" x14ac:dyDescent="0.25">
      <c r="A157" s="77"/>
      <c r="B157" s="77"/>
      <c r="C157" s="77"/>
      <c r="D157" s="77"/>
      <c r="E157" s="77"/>
      <c r="F157" s="77"/>
      <c r="G157" s="90"/>
      <c r="H157" s="91"/>
      <c r="I157" s="91"/>
      <c r="J157" s="77"/>
      <c r="K157" s="77"/>
      <c r="L157" s="77"/>
      <c r="M157" s="77"/>
      <c r="N157" s="91"/>
      <c r="O157" s="91"/>
      <c r="P157" s="77"/>
      <c r="Q157" s="95"/>
      <c r="R157" s="95"/>
      <c r="S157" s="95"/>
      <c r="T157" s="95"/>
      <c r="U157" s="95"/>
      <c r="V157" s="95"/>
      <c r="W157" s="95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</row>
    <row r="158" spans="1:34" ht="14.4" customHeight="1" x14ac:dyDescent="0.25">
      <c r="A158" s="77"/>
      <c r="B158" s="77"/>
      <c r="C158" s="77"/>
      <c r="D158" s="77"/>
      <c r="E158" s="77"/>
      <c r="F158" s="77"/>
      <c r="G158" s="90"/>
      <c r="H158" s="91"/>
      <c r="I158" s="91"/>
      <c r="J158" s="77"/>
      <c r="K158" s="77"/>
      <c r="L158" s="77"/>
      <c r="M158" s="77"/>
      <c r="N158" s="91"/>
      <c r="O158" s="91"/>
      <c r="P158" s="77"/>
      <c r="Q158" s="95"/>
      <c r="R158" s="95"/>
      <c r="S158" s="95"/>
      <c r="T158" s="95"/>
      <c r="U158" s="95"/>
      <c r="V158" s="95"/>
      <c r="W158" s="95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</row>
    <row r="159" spans="1:34" ht="14.4" customHeight="1" x14ac:dyDescent="0.25">
      <c r="A159" s="77"/>
      <c r="B159" s="77"/>
      <c r="C159" s="77"/>
      <c r="D159" s="77"/>
      <c r="E159" s="77"/>
      <c r="F159" s="77"/>
      <c r="G159" s="90"/>
      <c r="H159" s="91"/>
      <c r="I159" s="91"/>
      <c r="J159" s="77"/>
      <c r="K159" s="77"/>
      <c r="L159" s="77"/>
      <c r="M159" s="77"/>
      <c r="N159" s="91"/>
      <c r="O159" s="91"/>
      <c r="P159" s="77"/>
      <c r="Q159" s="95"/>
      <c r="R159" s="95"/>
      <c r="S159" s="95"/>
      <c r="T159" s="95"/>
      <c r="U159" s="95"/>
      <c r="V159" s="95"/>
      <c r="W159" s="95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</row>
    <row r="160" spans="1:34" ht="14.4" customHeight="1" x14ac:dyDescent="0.25">
      <c r="A160" s="77"/>
      <c r="B160" s="77"/>
      <c r="C160" s="77"/>
      <c r="D160" s="77"/>
      <c r="E160" s="77"/>
      <c r="F160" s="77"/>
      <c r="G160" s="90"/>
      <c r="H160" s="91"/>
      <c r="I160" s="91"/>
      <c r="J160" s="77"/>
      <c r="K160" s="77"/>
      <c r="L160" s="77"/>
      <c r="M160" s="77"/>
      <c r="N160" s="91"/>
      <c r="O160" s="91"/>
      <c r="P160" s="77"/>
      <c r="Q160" s="95"/>
      <c r="R160" s="95"/>
      <c r="S160" s="95"/>
      <c r="T160" s="95"/>
      <c r="U160" s="95"/>
      <c r="V160" s="95"/>
      <c r="W160" s="95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</row>
    <row r="161" spans="1:34" ht="14.4" customHeight="1" x14ac:dyDescent="0.25">
      <c r="A161" s="77"/>
      <c r="B161" s="77"/>
      <c r="C161" s="77"/>
      <c r="D161" s="77"/>
      <c r="E161" s="77"/>
      <c r="F161" s="77"/>
      <c r="G161" s="90"/>
      <c r="H161" s="91"/>
      <c r="I161" s="91"/>
      <c r="J161" s="77"/>
      <c r="K161" s="77"/>
      <c r="L161" s="77"/>
      <c r="M161" s="77"/>
      <c r="N161" s="91"/>
      <c r="O161" s="91"/>
      <c r="P161" s="77"/>
      <c r="Q161" s="95"/>
      <c r="R161" s="95"/>
      <c r="S161" s="95"/>
      <c r="T161" s="95"/>
      <c r="U161" s="95"/>
      <c r="V161" s="95"/>
      <c r="W161" s="95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</row>
    <row r="162" spans="1:34" ht="14.4" customHeight="1" x14ac:dyDescent="0.25">
      <c r="A162" s="77"/>
      <c r="B162" s="77"/>
      <c r="C162" s="77"/>
      <c r="D162" s="77"/>
      <c r="E162" s="77"/>
      <c r="F162" s="77"/>
      <c r="G162" s="90"/>
      <c r="H162" s="91"/>
      <c r="I162" s="91"/>
      <c r="J162" s="77"/>
      <c r="K162" s="77"/>
      <c r="L162" s="77"/>
      <c r="M162" s="77"/>
      <c r="N162" s="91"/>
      <c r="O162" s="91"/>
      <c r="P162" s="77"/>
      <c r="Q162" s="95"/>
      <c r="R162" s="95"/>
      <c r="S162" s="95"/>
      <c r="T162" s="95"/>
      <c r="U162" s="95"/>
      <c r="V162" s="95"/>
      <c r="W162" s="95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</row>
    <row r="163" spans="1:34" ht="14.4" customHeight="1" x14ac:dyDescent="0.25">
      <c r="A163" s="77"/>
      <c r="B163" s="77"/>
      <c r="C163" s="77"/>
      <c r="D163" s="77"/>
      <c r="E163" s="77"/>
      <c r="F163" s="77"/>
      <c r="G163" s="90"/>
      <c r="H163" s="91"/>
      <c r="I163" s="91"/>
      <c r="J163" s="77"/>
      <c r="K163" s="77"/>
      <c r="L163" s="77"/>
      <c r="M163" s="77"/>
      <c r="N163" s="91"/>
      <c r="O163" s="91"/>
      <c r="P163" s="77"/>
      <c r="Q163" s="95"/>
      <c r="R163" s="95"/>
      <c r="S163" s="95"/>
      <c r="T163" s="95"/>
      <c r="U163" s="95"/>
      <c r="V163" s="95"/>
      <c r="W163" s="95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</row>
    <row r="164" spans="1:34" ht="14.4" customHeight="1" x14ac:dyDescent="0.25">
      <c r="A164" s="77"/>
      <c r="B164" s="77"/>
      <c r="C164" s="77"/>
      <c r="D164" s="77"/>
      <c r="E164" s="77"/>
      <c r="F164" s="77"/>
      <c r="G164" s="90"/>
      <c r="H164" s="91"/>
      <c r="I164" s="91"/>
      <c r="J164" s="77"/>
      <c r="K164" s="77"/>
      <c r="L164" s="77"/>
      <c r="M164" s="77"/>
      <c r="N164" s="91"/>
      <c r="O164" s="91"/>
      <c r="P164" s="77"/>
      <c r="Q164" s="95"/>
      <c r="R164" s="95"/>
      <c r="S164" s="95"/>
      <c r="T164" s="95"/>
      <c r="U164" s="95"/>
      <c r="V164" s="95"/>
      <c r="W164" s="95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</row>
    <row r="165" spans="1:34" ht="14.4" customHeight="1" x14ac:dyDescent="0.25">
      <c r="A165" s="77"/>
      <c r="B165" s="77"/>
      <c r="C165" s="77"/>
      <c r="D165" s="77"/>
      <c r="E165" s="77"/>
      <c r="F165" s="77"/>
      <c r="G165" s="90"/>
      <c r="H165" s="91"/>
      <c r="I165" s="91"/>
      <c r="J165" s="77"/>
      <c r="K165" s="77"/>
      <c r="L165" s="77"/>
      <c r="M165" s="77"/>
      <c r="N165" s="91"/>
      <c r="O165" s="91"/>
      <c r="P165" s="77"/>
      <c r="Q165" s="95"/>
      <c r="R165" s="95"/>
      <c r="S165" s="95"/>
      <c r="T165" s="95"/>
      <c r="U165" s="95"/>
      <c r="V165" s="95"/>
      <c r="W165" s="95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</row>
    <row r="166" spans="1:34" ht="14.4" customHeight="1" x14ac:dyDescent="0.25">
      <c r="A166" s="77"/>
      <c r="B166" s="77"/>
      <c r="C166" s="77"/>
      <c r="D166" s="77"/>
      <c r="E166" s="77"/>
      <c r="F166" s="77"/>
      <c r="G166" s="90"/>
      <c r="H166" s="91"/>
      <c r="I166" s="91"/>
      <c r="J166" s="77"/>
      <c r="K166" s="77"/>
      <c r="L166" s="77"/>
      <c r="M166" s="77"/>
      <c r="N166" s="91"/>
      <c r="O166" s="91"/>
      <c r="P166" s="77"/>
      <c r="Q166" s="95"/>
      <c r="R166" s="95"/>
      <c r="S166" s="95"/>
      <c r="T166" s="95"/>
      <c r="U166" s="95"/>
      <c r="V166" s="95"/>
      <c r="W166" s="95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</row>
    <row r="167" spans="1:34" ht="14.4" customHeight="1" x14ac:dyDescent="0.25">
      <c r="A167" s="77"/>
      <c r="B167" s="77"/>
      <c r="C167" s="77"/>
      <c r="D167" s="77"/>
      <c r="E167" s="77"/>
      <c r="F167" s="77"/>
      <c r="G167" s="90"/>
      <c r="H167" s="91"/>
      <c r="I167" s="91"/>
      <c r="J167" s="77"/>
      <c r="K167" s="77"/>
      <c r="L167" s="77"/>
      <c r="M167" s="77"/>
      <c r="N167" s="91"/>
      <c r="O167" s="91"/>
      <c r="P167" s="77"/>
      <c r="Q167" s="95"/>
      <c r="R167" s="95"/>
      <c r="S167" s="95"/>
      <c r="T167" s="95"/>
      <c r="U167" s="95"/>
      <c r="V167" s="95"/>
      <c r="W167" s="95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</row>
    <row r="168" spans="1:34" ht="14.4" customHeight="1" x14ac:dyDescent="0.25">
      <c r="A168" s="77"/>
      <c r="B168" s="77"/>
      <c r="C168" s="77"/>
      <c r="D168" s="77"/>
      <c r="E168" s="77"/>
      <c r="F168" s="77"/>
      <c r="G168" s="90"/>
      <c r="H168" s="91"/>
      <c r="I168" s="91"/>
      <c r="J168" s="77"/>
      <c r="K168" s="77"/>
      <c r="L168" s="77"/>
      <c r="M168" s="77"/>
      <c r="N168" s="91"/>
      <c r="O168" s="91"/>
      <c r="P168" s="77"/>
      <c r="Q168" s="95"/>
      <c r="R168" s="95"/>
      <c r="S168" s="95"/>
      <c r="T168" s="95"/>
      <c r="U168" s="95"/>
      <c r="V168" s="95"/>
      <c r="W168" s="95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</row>
    <row r="169" spans="1:34" ht="14.4" customHeight="1" x14ac:dyDescent="0.25">
      <c r="A169" s="77"/>
      <c r="B169" s="77"/>
      <c r="C169" s="77"/>
      <c r="D169" s="77"/>
      <c r="E169" s="77"/>
      <c r="F169" s="77"/>
      <c r="G169" s="90"/>
      <c r="H169" s="91"/>
      <c r="I169" s="91"/>
      <c r="J169" s="77"/>
      <c r="K169" s="77"/>
      <c r="L169" s="77"/>
      <c r="M169" s="77"/>
      <c r="N169" s="91"/>
      <c r="O169" s="91"/>
      <c r="P169" s="77"/>
      <c r="Q169" s="95"/>
      <c r="R169" s="95"/>
      <c r="S169" s="95"/>
      <c r="T169" s="95"/>
      <c r="U169" s="95"/>
      <c r="V169" s="95"/>
      <c r="W169" s="95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</row>
    <row r="170" spans="1:34" ht="14.4" customHeight="1" x14ac:dyDescent="0.25">
      <c r="A170" s="77"/>
      <c r="B170" s="77"/>
      <c r="C170" s="77"/>
      <c r="D170" s="77"/>
      <c r="E170" s="77"/>
      <c r="F170" s="77"/>
      <c r="G170" s="90"/>
      <c r="H170" s="91"/>
      <c r="I170" s="91"/>
      <c r="J170" s="77"/>
      <c r="K170" s="77"/>
      <c r="L170" s="77"/>
      <c r="M170" s="77"/>
      <c r="N170" s="91"/>
      <c r="O170" s="91"/>
      <c r="P170" s="77"/>
      <c r="Q170" s="95"/>
      <c r="R170" s="95"/>
      <c r="S170" s="95"/>
      <c r="T170" s="95"/>
      <c r="U170" s="95"/>
      <c r="V170" s="95"/>
      <c r="W170" s="95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</row>
    <row r="171" spans="1:34" ht="14.4" customHeight="1" x14ac:dyDescent="0.25">
      <c r="A171" s="77"/>
      <c r="B171" s="77"/>
      <c r="C171" s="77"/>
      <c r="D171" s="77"/>
      <c r="E171" s="77"/>
      <c r="F171" s="77"/>
      <c r="G171" s="90"/>
      <c r="H171" s="91"/>
      <c r="I171" s="91"/>
      <c r="J171" s="77"/>
      <c r="K171" s="77"/>
      <c r="L171" s="77"/>
      <c r="M171" s="77"/>
      <c r="N171" s="91"/>
      <c r="O171" s="91"/>
      <c r="P171" s="77"/>
      <c r="Q171" s="95"/>
      <c r="R171" s="95"/>
      <c r="S171" s="95"/>
      <c r="T171" s="95"/>
      <c r="U171" s="95"/>
      <c r="V171" s="95"/>
      <c r="W171" s="95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</row>
    <row r="172" spans="1:34" ht="14.4" customHeight="1" x14ac:dyDescent="0.25">
      <c r="A172" s="77"/>
      <c r="B172" s="77"/>
      <c r="C172" s="77"/>
      <c r="D172" s="77"/>
      <c r="E172" s="77"/>
      <c r="F172" s="77"/>
      <c r="G172" s="90"/>
      <c r="H172" s="91"/>
      <c r="I172" s="91"/>
      <c r="J172" s="77"/>
      <c r="K172" s="77"/>
      <c r="L172" s="77"/>
      <c r="M172" s="77"/>
      <c r="N172" s="91"/>
      <c r="O172" s="91"/>
      <c r="P172" s="77"/>
      <c r="Q172" s="95"/>
      <c r="R172" s="95"/>
      <c r="S172" s="95"/>
      <c r="T172" s="95"/>
      <c r="U172" s="95"/>
      <c r="V172" s="95"/>
      <c r="W172" s="95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</row>
    <row r="173" spans="1:34" ht="14.4" customHeight="1" x14ac:dyDescent="0.25">
      <c r="A173" s="77"/>
      <c r="B173" s="77"/>
      <c r="C173" s="77"/>
      <c r="D173" s="77"/>
      <c r="E173" s="77"/>
      <c r="F173" s="77"/>
      <c r="G173" s="90"/>
      <c r="H173" s="91"/>
      <c r="I173" s="91"/>
      <c r="J173" s="77"/>
      <c r="K173" s="77"/>
      <c r="L173" s="77"/>
      <c r="M173" s="77"/>
      <c r="N173" s="91"/>
      <c r="O173" s="91"/>
      <c r="P173" s="77"/>
      <c r="Q173" s="95"/>
      <c r="R173" s="95"/>
      <c r="S173" s="95"/>
      <c r="T173" s="95"/>
      <c r="U173" s="95"/>
      <c r="V173" s="95"/>
      <c r="W173" s="95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</row>
    <row r="174" spans="1:34" ht="14.4" customHeight="1" x14ac:dyDescent="0.25">
      <c r="A174" s="77"/>
      <c r="B174" s="77"/>
      <c r="C174" s="77"/>
      <c r="D174" s="77"/>
      <c r="E174" s="77"/>
      <c r="F174" s="77"/>
      <c r="G174" s="90"/>
      <c r="H174" s="91"/>
      <c r="I174" s="91"/>
      <c r="J174" s="77"/>
      <c r="K174" s="77"/>
      <c r="L174" s="77"/>
      <c r="M174" s="77"/>
      <c r="N174" s="91"/>
      <c r="O174" s="91"/>
      <c r="P174" s="77"/>
      <c r="Q174" s="95"/>
      <c r="R174" s="95"/>
      <c r="S174" s="95"/>
      <c r="T174" s="95"/>
      <c r="U174" s="95"/>
      <c r="V174" s="95"/>
      <c r="W174" s="95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</row>
    <row r="175" spans="1:34" ht="14.4" customHeight="1" x14ac:dyDescent="0.25">
      <c r="A175" s="77"/>
      <c r="B175" s="77"/>
      <c r="C175" s="77"/>
      <c r="D175" s="77"/>
      <c r="E175" s="77"/>
      <c r="F175" s="77"/>
      <c r="G175" s="90"/>
      <c r="H175" s="91"/>
      <c r="I175" s="91"/>
      <c r="J175" s="77"/>
      <c r="K175" s="77"/>
      <c r="L175" s="77"/>
      <c r="M175" s="77"/>
      <c r="N175" s="91"/>
      <c r="O175" s="91"/>
      <c r="P175" s="77"/>
      <c r="Q175" s="95"/>
      <c r="R175" s="95"/>
      <c r="S175" s="95"/>
      <c r="T175" s="95"/>
      <c r="U175" s="95"/>
      <c r="V175" s="95"/>
      <c r="W175" s="95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</row>
    <row r="176" spans="1:34" ht="14.4" customHeight="1" x14ac:dyDescent="0.25">
      <c r="A176" s="77"/>
      <c r="B176" s="77"/>
      <c r="C176" s="77"/>
      <c r="D176" s="77"/>
      <c r="E176" s="77"/>
      <c r="F176" s="77"/>
      <c r="G176" s="90"/>
      <c r="H176" s="91"/>
      <c r="I176" s="91"/>
      <c r="J176" s="77"/>
      <c r="K176" s="77"/>
      <c r="L176" s="77"/>
      <c r="M176" s="77"/>
      <c r="N176" s="91"/>
      <c r="O176" s="91"/>
      <c r="P176" s="77"/>
      <c r="Q176" s="95"/>
      <c r="R176" s="95"/>
      <c r="S176" s="95"/>
      <c r="T176" s="95"/>
      <c r="U176" s="95"/>
      <c r="V176" s="95"/>
      <c r="W176" s="95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</row>
    <row r="177" spans="1:34" ht="14.4" customHeight="1" x14ac:dyDescent="0.25">
      <c r="A177" s="77"/>
      <c r="B177" s="77"/>
      <c r="C177" s="77"/>
      <c r="D177" s="77"/>
      <c r="E177" s="77"/>
      <c r="F177" s="77"/>
      <c r="G177" s="90"/>
      <c r="H177" s="91"/>
      <c r="I177" s="91"/>
      <c r="J177" s="77"/>
      <c r="K177" s="77"/>
      <c r="L177" s="77"/>
      <c r="M177" s="77"/>
      <c r="N177" s="91"/>
      <c r="O177" s="91"/>
      <c r="P177" s="77"/>
      <c r="Q177" s="95"/>
      <c r="R177" s="95"/>
      <c r="S177" s="95"/>
      <c r="T177" s="95"/>
      <c r="U177" s="95"/>
      <c r="V177" s="95"/>
      <c r="W177" s="95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</row>
    <row r="178" spans="1:34" ht="14.4" customHeight="1" x14ac:dyDescent="0.25">
      <c r="A178" s="77"/>
      <c r="B178" s="77"/>
      <c r="C178" s="77"/>
      <c r="D178" s="77"/>
      <c r="E178" s="77"/>
      <c r="F178" s="77"/>
      <c r="G178" s="90"/>
      <c r="H178" s="91"/>
      <c r="I178" s="91"/>
      <c r="J178" s="77"/>
      <c r="K178" s="77"/>
      <c r="L178" s="77"/>
      <c r="M178" s="77"/>
      <c r="N178" s="91"/>
      <c r="O178" s="91"/>
      <c r="P178" s="77"/>
      <c r="Q178" s="95"/>
      <c r="R178" s="95"/>
      <c r="S178" s="95"/>
      <c r="T178" s="95"/>
      <c r="U178" s="95"/>
      <c r="V178" s="95"/>
      <c r="W178" s="95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</row>
    <row r="179" spans="1:34" ht="14.4" customHeight="1" x14ac:dyDescent="0.25">
      <c r="A179" s="77"/>
      <c r="B179" s="77"/>
      <c r="C179" s="77"/>
      <c r="D179" s="77"/>
      <c r="E179" s="77"/>
      <c r="F179" s="77"/>
      <c r="G179" s="90"/>
      <c r="H179" s="91"/>
      <c r="I179" s="91"/>
      <c r="J179" s="77"/>
      <c r="K179" s="77"/>
      <c r="L179" s="77"/>
      <c r="M179" s="77"/>
      <c r="N179" s="91"/>
      <c r="O179" s="91"/>
      <c r="P179" s="77"/>
      <c r="Q179" s="95"/>
      <c r="R179" s="95"/>
      <c r="S179" s="95"/>
      <c r="T179" s="95"/>
      <c r="U179" s="95"/>
      <c r="V179" s="95"/>
      <c r="W179" s="95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</row>
    <row r="180" spans="1:34" ht="14.4" customHeight="1" x14ac:dyDescent="0.25">
      <c r="A180" s="77"/>
      <c r="B180" s="77"/>
      <c r="C180" s="77"/>
      <c r="D180" s="77"/>
      <c r="E180" s="77"/>
      <c r="F180" s="77"/>
      <c r="G180" s="90"/>
      <c r="H180" s="91"/>
      <c r="I180" s="91"/>
      <c r="J180" s="77"/>
      <c r="K180" s="77"/>
      <c r="L180" s="77"/>
      <c r="M180" s="77"/>
      <c r="N180" s="91"/>
      <c r="O180" s="91"/>
      <c r="P180" s="77"/>
      <c r="Q180" s="95"/>
      <c r="R180" s="95"/>
      <c r="S180" s="95"/>
      <c r="T180" s="95"/>
      <c r="U180" s="95"/>
      <c r="V180" s="95"/>
      <c r="W180" s="95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</row>
    <row r="181" spans="1:34" ht="14.4" customHeight="1" x14ac:dyDescent="0.25">
      <c r="A181" s="77"/>
      <c r="B181" s="77"/>
      <c r="C181" s="77"/>
      <c r="D181" s="77"/>
      <c r="E181" s="77"/>
      <c r="F181" s="77"/>
      <c r="G181" s="90"/>
      <c r="H181" s="91"/>
      <c r="I181" s="91"/>
      <c r="J181" s="77"/>
      <c r="K181" s="77"/>
      <c r="L181" s="77"/>
      <c r="M181" s="77"/>
      <c r="N181" s="91"/>
      <c r="O181" s="91"/>
      <c r="P181" s="77"/>
      <c r="Q181" s="95"/>
      <c r="R181" s="95"/>
      <c r="S181" s="95"/>
      <c r="T181" s="95"/>
      <c r="U181" s="95"/>
      <c r="V181" s="95"/>
      <c r="W181" s="95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</row>
    <row r="182" spans="1:34" ht="14.4" customHeight="1" x14ac:dyDescent="0.25">
      <c r="A182" s="77"/>
      <c r="B182" s="77"/>
      <c r="C182" s="77"/>
      <c r="D182" s="77"/>
      <c r="E182" s="77"/>
      <c r="F182" s="77"/>
      <c r="G182" s="90"/>
      <c r="H182" s="91"/>
      <c r="I182" s="91"/>
      <c r="J182" s="77"/>
      <c r="K182" s="77"/>
      <c r="L182" s="77"/>
      <c r="M182" s="77"/>
      <c r="N182" s="91"/>
      <c r="O182" s="91"/>
      <c r="P182" s="77"/>
      <c r="Q182" s="95"/>
      <c r="R182" s="95"/>
      <c r="S182" s="95"/>
      <c r="T182" s="95"/>
      <c r="U182" s="95"/>
      <c r="V182" s="95"/>
      <c r="W182" s="95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</row>
    <row r="183" spans="1:34" ht="14.4" customHeight="1" x14ac:dyDescent="0.25">
      <c r="A183" s="77"/>
      <c r="B183" s="77"/>
      <c r="C183" s="77"/>
      <c r="D183" s="77"/>
      <c r="E183" s="77"/>
      <c r="F183" s="77"/>
      <c r="G183" s="90"/>
      <c r="H183" s="91"/>
      <c r="I183" s="91"/>
      <c r="J183" s="77"/>
      <c r="K183" s="77"/>
      <c r="L183" s="77"/>
      <c r="M183" s="77"/>
      <c r="N183" s="91"/>
      <c r="O183" s="91"/>
      <c r="P183" s="77"/>
      <c r="Q183" s="95"/>
      <c r="R183" s="95"/>
      <c r="S183" s="95"/>
      <c r="T183" s="95"/>
      <c r="U183" s="95"/>
      <c r="V183" s="95"/>
      <c r="W183" s="95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</row>
    <row r="184" spans="1:34" ht="14.4" customHeight="1" x14ac:dyDescent="0.25">
      <c r="A184" s="77"/>
      <c r="B184" s="77"/>
      <c r="C184" s="77"/>
      <c r="D184" s="77"/>
      <c r="E184" s="77"/>
      <c r="F184" s="77"/>
      <c r="G184" s="90"/>
      <c r="H184" s="91"/>
      <c r="I184" s="91"/>
      <c r="J184" s="77"/>
      <c r="K184" s="77"/>
      <c r="L184" s="77"/>
      <c r="M184" s="77"/>
      <c r="N184" s="91"/>
      <c r="O184" s="91"/>
      <c r="P184" s="77"/>
      <c r="Q184" s="95"/>
      <c r="R184" s="95"/>
      <c r="S184" s="95"/>
      <c r="T184" s="95"/>
      <c r="U184" s="95"/>
      <c r="V184" s="95"/>
      <c r="W184" s="95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</row>
    <row r="185" spans="1:34" ht="14.4" customHeight="1" x14ac:dyDescent="0.25">
      <c r="A185" s="77"/>
      <c r="B185" s="77"/>
      <c r="C185" s="77"/>
      <c r="D185" s="77"/>
      <c r="E185" s="77"/>
      <c r="F185" s="77"/>
      <c r="G185" s="90"/>
      <c r="H185" s="91"/>
      <c r="I185" s="91"/>
      <c r="J185" s="77"/>
      <c r="K185" s="77"/>
      <c r="L185" s="77"/>
      <c r="M185" s="77"/>
      <c r="N185" s="91"/>
      <c r="O185" s="91"/>
      <c r="P185" s="77"/>
      <c r="Q185" s="95"/>
      <c r="R185" s="95"/>
      <c r="S185" s="95"/>
      <c r="T185" s="95"/>
      <c r="U185" s="95"/>
      <c r="V185" s="95"/>
      <c r="W185" s="95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</row>
    <row r="186" spans="1:34" ht="14.4" customHeight="1" x14ac:dyDescent="0.25">
      <c r="A186" s="77"/>
      <c r="B186" s="77"/>
      <c r="C186" s="77"/>
      <c r="D186" s="77"/>
      <c r="E186" s="77"/>
      <c r="F186" s="77"/>
      <c r="G186" s="90"/>
      <c r="H186" s="91"/>
      <c r="I186" s="91"/>
      <c r="J186" s="77"/>
      <c r="K186" s="77"/>
      <c r="L186" s="77"/>
      <c r="M186" s="77"/>
      <c r="N186" s="91"/>
      <c r="O186" s="91"/>
      <c r="P186" s="77"/>
      <c r="Q186" s="95"/>
      <c r="R186" s="95"/>
      <c r="S186" s="95"/>
      <c r="T186" s="95"/>
      <c r="U186" s="95"/>
      <c r="V186" s="95"/>
      <c r="W186" s="95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</row>
    <row r="187" spans="1:34" ht="14.4" customHeight="1" x14ac:dyDescent="0.25">
      <c r="A187" s="77"/>
      <c r="B187" s="77"/>
      <c r="C187" s="77"/>
      <c r="D187" s="77"/>
      <c r="E187" s="77"/>
      <c r="F187" s="77"/>
      <c r="G187" s="90"/>
      <c r="H187" s="91"/>
      <c r="I187" s="91"/>
      <c r="J187" s="77"/>
      <c r="K187" s="77"/>
      <c r="L187" s="77"/>
      <c r="M187" s="77"/>
      <c r="N187" s="91"/>
      <c r="O187" s="91"/>
      <c r="P187" s="77"/>
      <c r="Q187" s="95"/>
      <c r="R187" s="95"/>
      <c r="S187" s="95"/>
      <c r="T187" s="95"/>
      <c r="U187" s="95"/>
      <c r="V187" s="95"/>
      <c r="W187" s="95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</row>
    <row r="188" spans="1:34" ht="14.4" customHeight="1" x14ac:dyDescent="0.25">
      <c r="A188" s="77"/>
      <c r="B188" s="77"/>
      <c r="C188" s="77"/>
      <c r="D188" s="77"/>
      <c r="E188" s="77"/>
      <c r="F188" s="77"/>
      <c r="G188" s="90"/>
      <c r="H188" s="91"/>
      <c r="I188" s="91"/>
      <c r="J188" s="77"/>
      <c r="K188" s="77"/>
      <c r="L188" s="77"/>
      <c r="M188" s="77"/>
      <c r="N188" s="91"/>
      <c r="O188" s="91"/>
      <c r="P188" s="77"/>
      <c r="Q188" s="95"/>
      <c r="R188" s="95"/>
      <c r="S188" s="95"/>
      <c r="T188" s="95"/>
      <c r="U188" s="95"/>
      <c r="V188" s="95"/>
      <c r="W188" s="95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</row>
    <row r="189" spans="1:34" ht="14.4" customHeight="1" x14ac:dyDescent="0.25">
      <c r="A189" s="77"/>
      <c r="B189" s="77"/>
      <c r="C189" s="77"/>
      <c r="D189" s="77"/>
      <c r="E189" s="77"/>
      <c r="F189" s="77"/>
      <c r="G189" s="90"/>
      <c r="H189" s="91"/>
      <c r="I189" s="91"/>
      <c r="J189" s="77"/>
      <c r="K189" s="77"/>
      <c r="L189" s="77"/>
      <c r="M189" s="77"/>
      <c r="N189" s="91"/>
      <c r="O189" s="91"/>
      <c r="P189" s="77"/>
      <c r="Q189" s="95"/>
      <c r="R189" s="95"/>
      <c r="S189" s="95"/>
      <c r="T189" s="95"/>
      <c r="U189" s="95"/>
      <c r="V189" s="95"/>
      <c r="W189" s="95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</row>
    <row r="190" spans="1:34" ht="14.4" customHeight="1" x14ac:dyDescent="0.25">
      <c r="A190" s="77"/>
      <c r="B190" s="77"/>
      <c r="C190" s="77"/>
      <c r="D190" s="77"/>
      <c r="E190" s="77"/>
      <c r="F190" s="77"/>
      <c r="G190" s="90"/>
      <c r="H190" s="91"/>
      <c r="I190" s="91"/>
      <c r="J190" s="77"/>
      <c r="K190" s="77"/>
      <c r="L190" s="77"/>
      <c r="M190" s="77"/>
      <c r="N190" s="91"/>
      <c r="O190" s="91"/>
      <c r="P190" s="77"/>
      <c r="Q190" s="95"/>
      <c r="R190" s="95"/>
      <c r="S190" s="95"/>
      <c r="T190" s="95"/>
      <c r="U190" s="95"/>
      <c r="V190" s="95"/>
      <c r="W190" s="95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</row>
    <row r="191" spans="1:34" ht="14.4" customHeight="1" x14ac:dyDescent="0.25">
      <c r="A191" s="77"/>
      <c r="B191" s="77"/>
      <c r="C191" s="77"/>
      <c r="D191" s="77"/>
      <c r="E191" s="77"/>
      <c r="F191" s="77"/>
      <c r="G191" s="90"/>
      <c r="H191" s="91"/>
      <c r="I191" s="91"/>
      <c r="J191" s="77"/>
      <c r="K191" s="77"/>
      <c r="L191" s="77"/>
      <c r="M191" s="77"/>
      <c r="N191" s="91"/>
      <c r="O191" s="91"/>
      <c r="P191" s="77"/>
      <c r="Q191" s="95"/>
      <c r="R191" s="95"/>
      <c r="S191" s="95"/>
      <c r="T191" s="95"/>
      <c r="U191" s="95"/>
      <c r="V191" s="95"/>
      <c r="W191" s="95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</row>
    <row r="192" spans="1:34" ht="14.4" customHeight="1" x14ac:dyDescent="0.25">
      <c r="A192" s="77"/>
      <c r="B192" s="77"/>
      <c r="C192" s="77"/>
      <c r="D192" s="77"/>
      <c r="E192" s="77"/>
      <c r="F192" s="77"/>
      <c r="G192" s="90"/>
      <c r="H192" s="91"/>
      <c r="I192" s="91"/>
      <c r="J192" s="77"/>
      <c r="K192" s="77"/>
      <c r="L192" s="77"/>
      <c r="M192" s="77"/>
      <c r="N192" s="91"/>
      <c r="O192" s="91"/>
      <c r="P192" s="77"/>
      <c r="Q192" s="95"/>
      <c r="R192" s="95"/>
      <c r="S192" s="95"/>
      <c r="T192" s="95"/>
      <c r="U192" s="95"/>
      <c r="V192" s="95"/>
      <c r="W192" s="95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</row>
    <row r="193" spans="1:34" ht="14.4" customHeight="1" x14ac:dyDescent="0.25">
      <c r="A193" s="77"/>
      <c r="B193" s="77"/>
      <c r="C193" s="77"/>
      <c r="D193" s="77"/>
      <c r="E193" s="77"/>
      <c r="F193" s="77"/>
      <c r="G193" s="90"/>
      <c r="H193" s="91"/>
      <c r="I193" s="91"/>
      <c r="J193" s="77"/>
      <c r="K193" s="77"/>
      <c r="L193" s="77"/>
      <c r="M193" s="77"/>
      <c r="N193" s="91"/>
      <c r="O193" s="91"/>
      <c r="P193" s="77"/>
      <c r="Q193" s="95"/>
      <c r="R193" s="95"/>
      <c r="S193" s="95"/>
      <c r="T193" s="95"/>
      <c r="U193" s="95"/>
      <c r="V193" s="95"/>
      <c r="W193" s="95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</row>
    <row r="194" spans="1:34" ht="14.4" customHeight="1" x14ac:dyDescent="0.25">
      <c r="A194" s="77"/>
      <c r="B194" s="77"/>
      <c r="C194" s="77"/>
      <c r="D194" s="77"/>
      <c r="E194" s="77"/>
      <c r="F194" s="77"/>
      <c r="G194" s="90"/>
      <c r="H194" s="91"/>
      <c r="I194" s="91"/>
      <c r="J194" s="77"/>
      <c r="K194" s="77"/>
      <c r="L194" s="77"/>
      <c r="M194" s="77"/>
      <c r="N194" s="91"/>
      <c r="O194" s="91"/>
      <c r="P194" s="77"/>
      <c r="Q194" s="95"/>
      <c r="R194" s="95"/>
      <c r="S194" s="95"/>
      <c r="T194" s="95"/>
      <c r="U194" s="95"/>
      <c r="V194" s="95"/>
      <c r="W194" s="95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</row>
    <row r="195" spans="1:34" ht="14.4" customHeight="1" x14ac:dyDescent="0.25">
      <c r="A195" s="77"/>
      <c r="B195" s="77"/>
      <c r="C195" s="77"/>
      <c r="D195" s="77"/>
      <c r="E195" s="77"/>
      <c r="F195" s="77"/>
      <c r="G195" s="90"/>
      <c r="H195" s="91"/>
      <c r="I195" s="91"/>
      <c r="J195" s="77"/>
      <c r="K195" s="77"/>
      <c r="L195" s="77"/>
      <c r="M195" s="77"/>
      <c r="N195" s="91"/>
      <c r="O195" s="91"/>
      <c r="P195" s="77"/>
      <c r="Q195" s="95"/>
      <c r="R195" s="95"/>
      <c r="S195" s="95"/>
      <c r="T195" s="95"/>
      <c r="U195" s="95"/>
      <c r="V195" s="95"/>
      <c r="W195" s="95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</row>
    <row r="196" spans="1:34" ht="14.4" customHeight="1" x14ac:dyDescent="0.25">
      <c r="A196" s="77"/>
      <c r="B196" s="77"/>
      <c r="C196" s="77"/>
      <c r="D196" s="77"/>
      <c r="E196" s="77"/>
      <c r="F196" s="77"/>
      <c r="G196" s="90"/>
      <c r="H196" s="91"/>
      <c r="I196" s="91"/>
      <c r="J196" s="77"/>
      <c r="K196" s="77"/>
      <c r="L196" s="77"/>
      <c r="M196" s="77"/>
      <c r="N196" s="91"/>
      <c r="O196" s="91"/>
      <c r="P196" s="77"/>
      <c r="Q196" s="95"/>
      <c r="R196" s="95"/>
      <c r="S196" s="95"/>
      <c r="T196" s="95"/>
      <c r="U196" s="95"/>
      <c r="V196" s="95"/>
      <c r="W196" s="95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</row>
    <row r="197" spans="1:34" ht="14.4" customHeight="1" x14ac:dyDescent="0.25">
      <c r="A197" s="77"/>
      <c r="B197" s="77"/>
      <c r="C197" s="77"/>
      <c r="D197" s="77"/>
      <c r="E197" s="77"/>
      <c r="F197" s="77"/>
      <c r="G197" s="90"/>
      <c r="H197" s="91"/>
      <c r="I197" s="91"/>
      <c r="J197" s="77"/>
      <c r="K197" s="77"/>
      <c r="L197" s="77"/>
      <c r="M197" s="77"/>
      <c r="N197" s="91"/>
      <c r="O197" s="91"/>
      <c r="P197" s="77"/>
      <c r="Q197" s="95"/>
      <c r="R197" s="95"/>
      <c r="S197" s="95"/>
      <c r="T197" s="95"/>
      <c r="U197" s="95"/>
      <c r="V197" s="95"/>
      <c r="W197" s="95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</row>
    <row r="198" spans="1:34" ht="14.4" customHeight="1" x14ac:dyDescent="0.25">
      <c r="A198" s="77"/>
      <c r="B198" s="77"/>
      <c r="C198" s="77"/>
      <c r="D198" s="77"/>
      <c r="E198" s="77"/>
      <c r="F198" s="77"/>
      <c r="G198" s="90"/>
      <c r="H198" s="91"/>
      <c r="I198" s="91"/>
      <c r="J198" s="77"/>
      <c r="K198" s="77"/>
      <c r="L198" s="77"/>
      <c r="M198" s="77"/>
      <c r="N198" s="91"/>
      <c r="O198" s="91"/>
      <c r="P198" s="77"/>
      <c r="Q198" s="95"/>
      <c r="R198" s="95"/>
      <c r="S198" s="95"/>
      <c r="T198" s="95"/>
      <c r="U198" s="95"/>
      <c r="V198" s="95"/>
      <c r="W198" s="95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</row>
    <row r="199" spans="1:34" ht="14.4" customHeight="1" x14ac:dyDescent="0.25">
      <c r="A199" s="77"/>
      <c r="B199" s="77"/>
      <c r="C199" s="77"/>
      <c r="D199" s="77"/>
      <c r="E199" s="77"/>
      <c r="F199" s="77"/>
      <c r="G199" s="90"/>
      <c r="H199" s="91"/>
      <c r="I199" s="91"/>
      <c r="J199" s="77"/>
      <c r="K199" s="77"/>
      <c r="L199" s="77"/>
      <c r="M199" s="77"/>
      <c r="N199" s="91"/>
      <c r="O199" s="91"/>
      <c r="P199" s="77"/>
      <c r="Q199" s="95"/>
      <c r="R199" s="95"/>
      <c r="S199" s="95"/>
      <c r="T199" s="95"/>
      <c r="U199" s="95"/>
      <c r="V199" s="95"/>
      <c r="W199" s="95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</row>
    <row r="200" spans="1:34" ht="14.4" customHeight="1" x14ac:dyDescent="0.25">
      <c r="A200" s="77"/>
      <c r="B200" s="77"/>
      <c r="C200" s="77"/>
      <c r="D200" s="77"/>
      <c r="E200" s="77"/>
      <c r="F200" s="77"/>
      <c r="G200" s="90"/>
      <c r="H200" s="91"/>
      <c r="I200" s="91"/>
      <c r="J200" s="77"/>
      <c r="K200" s="77"/>
      <c r="L200" s="77"/>
      <c r="M200" s="77"/>
      <c r="N200" s="91"/>
      <c r="O200" s="91"/>
      <c r="P200" s="77"/>
      <c r="Q200" s="95"/>
      <c r="R200" s="95"/>
      <c r="S200" s="95"/>
      <c r="T200" s="95"/>
      <c r="U200" s="95"/>
      <c r="V200" s="95"/>
      <c r="W200" s="95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</row>
    <row r="201" spans="1:34" ht="14.4" customHeight="1" x14ac:dyDescent="0.25">
      <c r="A201" s="77"/>
      <c r="B201" s="77"/>
      <c r="C201" s="77"/>
      <c r="D201" s="77"/>
      <c r="E201" s="77"/>
      <c r="F201" s="77"/>
      <c r="G201" s="90"/>
      <c r="H201" s="91"/>
      <c r="I201" s="91"/>
      <c r="J201" s="77"/>
      <c r="K201" s="77"/>
      <c r="L201" s="77"/>
      <c r="M201" s="77"/>
      <c r="N201" s="91"/>
      <c r="O201" s="91"/>
      <c r="P201" s="77"/>
      <c r="Q201" s="95"/>
      <c r="R201" s="95"/>
      <c r="S201" s="95"/>
      <c r="T201" s="95"/>
      <c r="U201" s="95"/>
      <c r="V201" s="95"/>
      <c r="W201" s="95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</row>
    <row r="202" spans="1:34" ht="14.4" customHeight="1" x14ac:dyDescent="0.25">
      <c r="A202" s="77"/>
      <c r="B202" s="77"/>
      <c r="C202" s="77"/>
      <c r="D202" s="77"/>
      <c r="E202" s="77"/>
      <c r="F202" s="77"/>
      <c r="G202" s="90"/>
      <c r="H202" s="91"/>
      <c r="I202" s="91"/>
      <c r="J202" s="77"/>
      <c r="K202" s="77"/>
      <c r="L202" s="77"/>
      <c r="M202" s="77"/>
      <c r="N202" s="91"/>
      <c r="O202" s="91"/>
      <c r="P202" s="77"/>
      <c r="Q202" s="95"/>
      <c r="R202" s="95"/>
      <c r="S202" s="95"/>
      <c r="T202" s="95"/>
      <c r="U202" s="95"/>
      <c r="V202" s="95"/>
      <c r="W202" s="95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</row>
    <row r="203" spans="1:34" ht="14.4" customHeight="1" x14ac:dyDescent="0.25">
      <c r="A203" s="77"/>
      <c r="B203" s="77"/>
      <c r="C203" s="77"/>
      <c r="D203" s="77"/>
      <c r="E203" s="77"/>
      <c r="F203" s="77"/>
      <c r="G203" s="90"/>
      <c r="H203" s="91"/>
      <c r="I203" s="91"/>
      <c r="J203" s="77"/>
      <c r="K203" s="77"/>
      <c r="L203" s="77"/>
      <c r="M203" s="77"/>
      <c r="N203" s="91"/>
      <c r="O203" s="91"/>
      <c r="P203" s="77"/>
      <c r="Q203" s="95"/>
      <c r="R203" s="95"/>
      <c r="S203" s="95"/>
      <c r="T203" s="95"/>
      <c r="U203" s="95"/>
      <c r="V203" s="95"/>
      <c r="W203" s="95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</row>
    <row r="204" spans="1:34" ht="14.4" customHeight="1" x14ac:dyDescent="0.25">
      <c r="A204" s="77"/>
      <c r="B204" s="77"/>
      <c r="C204" s="77"/>
      <c r="D204" s="77"/>
      <c r="E204" s="77"/>
      <c r="F204" s="77"/>
      <c r="G204" s="90"/>
      <c r="H204" s="91"/>
      <c r="I204" s="91"/>
      <c r="J204" s="77"/>
      <c r="K204" s="77"/>
      <c r="L204" s="77"/>
      <c r="M204" s="77"/>
      <c r="N204" s="91"/>
      <c r="O204" s="91"/>
      <c r="P204" s="77"/>
      <c r="Q204" s="95"/>
      <c r="R204" s="95"/>
      <c r="S204" s="95"/>
      <c r="T204" s="95"/>
      <c r="U204" s="95"/>
      <c r="V204" s="95"/>
      <c r="W204" s="95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</row>
    <row r="205" spans="1:34" ht="14.4" customHeight="1" x14ac:dyDescent="0.25">
      <c r="A205" s="77"/>
      <c r="B205" s="77"/>
      <c r="C205" s="77"/>
      <c r="D205" s="77"/>
      <c r="E205" s="77"/>
      <c r="F205" s="77"/>
      <c r="G205" s="90"/>
      <c r="H205" s="91"/>
      <c r="I205" s="91"/>
      <c r="J205" s="77"/>
      <c r="K205" s="77"/>
      <c r="L205" s="77"/>
      <c r="M205" s="77"/>
      <c r="N205" s="91"/>
      <c r="O205" s="91"/>
      <c r="P205" s="77"/>
      <c r="Q205" s="95"/>
      <c r="R205" s="95"/>
      <c r="S205" s="95"/>
      <c r="T205" s="95"/>
      <c r="U205" s="95"/>
      <c r="V205" s="95"/>
      <c r="W205" s="95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</row>
    <row r="206" spans="1:34" ht="14.4" customHeight="1" x14ac:dyDescent="0.25">
      <c r="A206" s="77"/>
      <c r="B206" s="77"/>
      <c r="C206" s="77"/>
      <c r="D206" s="77"/>
      <c r="E206" s="77"/>
      <c r="F206" s="77"/>
      <c r="G206" s="90"/>
      <c r="H206" s="91"/>
      <c r="I206" s="91"/>
      <c r="J206" s="77"/>
      <c r="K206" s="77"/>
      <c r="L206" s="77"/>
      <c r="M206" s="77"/>
      <c r="N206" s="91"/>
      <c r="O206" s="91"/>
      <c r="P206" s="77"/>
      <c r="Q206" s="95"/>
      <c r="R206" s="95"/>
      <c r="S206" s="95"/>
      <c r="T206" s="95"/>
      <c r="U206" s="95"/>
      <c r="V206" s="95"/>
      <c r="W206" s="95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</row>
    <row r="207" spans="1:34" ht="14.4" customHeight="1" x14ac:dyDescent="0.25">
      <c r="A207" s="77"/>
      <c r="B207" s="77"/>
      <c r="C207" s="77"/>
      <c r="D207" s="77"/>
      <c r="E207" s="77"/>
      <c r="F207" s="77"/>
      <c r="G207" s="90"/>
      <c r="H207" s="91"/>
      <c r="I207" s="91"/>
      <c r="J207" s="77"/>
      <c r="K207" s="77"/>
      <c r="L207" s="77"/>
      <c r="M207" s="77"/>
      <c r="N207" s="91"/>
      <c r="O207" s="91"/>
      <c r="P207" s="77"/>
      <c r="Q207" s="95"/>
      <c r="R207" s="95"/>
      <c r="S207" s="95"/>
      <c r="T207" s="95"/>
      <c r="U207" s="95"/>
      <c r="V207" s="95"/>
      <c r="W207" s="95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</row>
    <row r="208" spans="1:34" ht="14.4" customHeight="1" x14ac:dyDescent="0.25">
      <c r="A208" s="77"/>
      <c r="B208" s="77"/>
      <c r="C208" s="77"/>
      <c r="D208" s="77"/>
      <c r="E208" s="77"/>
      <c r="F208" s="77"/>
      <c r="G208" s="90"/>
      <c r="H208" s="91"/>
      <c r="I208" s="91"/>
      <c r="J208" s="77"/>
      <c r="K208" s="77"/>
      <c r="L208" s="77"/>
      <c r="M208" s="77"/>
      <c r="N208" s="91"/>
      <c r="O208" s="91"/>
      <c r="P208" s="77"/>
      <c r="Q208" s="95"/>
      <c r="R208" s="95"/>
      <c r="S208" s="95"/>
      <c r="T208" s="95"/>
      <c r="U208" s="95"/>
      <c r="V208" s="95"/>
      <c r="W208" s="95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</row>
    <row r="209" spans="1:34" ht="14.4" customHeight="1" x14ac:dyDescent="0.25">
      <c r="A209" s="77"/>
      <c r="B209" s="77"/>
      <c r="C209" s="77"/>
      <c r="D209" s="77"/>
      <c r="E209" s="77"/>
      <c r="F209" s="77"/>
      <c r="G209" s="90"/>
      <c r="H209" s="91"/>
      <c r="I209" s="91"/>
      <c r="J209" s="77"/>
      <c r="K209" s="77"/>
      <c r="L209" s="77"/>
      <c r="M209" s="77"/>
      <c r="N209" s="91"/>
      <c r="O209" s="91"/>
      <c r="P209" s="77"/>
      <c r="Q209" s="95"/>
      <c r="R209" s="95"/>
      <c r="S209" s="95"/>
      <c r="T209" s="95"/>
      <c r="U209" s="95"/>
      <c r="V209" s="95"/>
      <c r="W209" s="95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</row>
    <row r="210" spans="1:34" ht="14.4" customHeight="1" x14ac:dyDescent="0.25">
      <c r="A210" s="77"/>
      <c r="B210" s="77"/>
      <c r="C210" s="77"/>
      <c r="D210" s="77"/>
      <c r="E210" s="77"/>
      <c r="F210" s="77"/>
      <c r="G210" s="90"/>
      <c r="H210" s="91"/>
      <c r="I210" s="91"/>
      <c r="J210" s="77"/>
      <c r="K210" s="77"/>
      <c r="L210" s="77"/>
      <c r="M210" s="77"/>
      <c r="N210" s="91"/>
      <c r="O210" s="91"/>
      <c r="P210" s="77"/>
      <c r="Q210" s="95"/>
      <c r="R210" s="95"/>
      <c r="S210" s="95"/>
      <c r="T210" s="95"/>
      <c r="U210" s="95"/>
      <c r="V210" s="95"/>
      <c r="W210" s="95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</row>
    <row r="211" spans="1:34" ht="14.4" customHeight="1" x14ac:dyDescent="0.25">
      <c r="A211" s="77"/>
      <c r="B211" s="77"/>
      <c r="C211" s="77"/>
      <c r="D211" s="77"/>
      <c r="E211" s="77"/>
      <c r="F211" s="77"/>
      <c r="G211" s="90"/>
      <c r="H211" s="91"/>
      <c r="I211" s="91"/>
      <c r="J211" s="77"/>
      <c r="K211" s="77"/>
      <c r="L211" s="77"/>
      <c r="M211" s="77"/>
      <c r="N211" s="91"/>
      <c r="O211" s="91"/>
      <c r="P211" s="77"/>
      <c r="Q211" s="95"/>
      <c r="R211" s="95"/>
      <c r="S211" s="95"/>
      <c r="T211" s="95"/>
      <c r="U211" s="95"/>
      <c r="V211" s="95"/>
      <c r="W211" s="95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</row>
    <row r="212" spans="1:34" ht="14.4" customHeight="1" x14ac:dyDescent="0.25">
      <c r="A212" s="77"/>
      <c r="B212" s="77"/>
      <c r="C212" s="77"/>
      <c r="D212" s="77"/>
      <c r="E212" s="77"/>
      <c r="F212" s="77"/>
      <c r="G212" s="90"/>
      <c r="H212" s="91"/>
      <c r="I212" s="91"/>
      <c r="J212" s="77"/>
      <c r="K212" s="77"/>
      <c r="L212" s="77"/>
      <c r="M212" s="77"/>
      <c r="N212" s="91"/>
      <c r="O212" s="91"/>
      <c r="P212" s="77"/>
      <c r="Q212" s="95"/>
      <c r="R212" s="95"/>
      <c r="S212" s="95"/>
      <c r="T212" s="95"/>
      <c r="U212" s="95"/>
      <c r="V212" s="95"/>
      <c r="W212" s="95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</row>
    <row r="213" spans="1:34" ht="14.4" customHeight="1" x14ac:dyDescent="0.25">
      <c r="A213" s="77"/>
      <c r="B213" s="77"/>
      <c r="C213" s="77"/>
      <c r="D213" s="77"/>
      <c r="E213" s="77"/>
      <c r="F213" s="77"/>
      <c r="G213" s="90"/>
      <c r="H213" s="91"/>
      <c r="I213" s="91"/>
      <c r="J213" s="77"/>
      <c r="K213" s="77"/>
      <c r="L213" s="77"/>
      <c r="M213" s="77"/>
      <c r="N213" s="91"/>
      <c r="O213" s="91"/>
      <c r="P213" s="77"/>
      <c r="Q213" s="95"/>
      <c r="R213" s="95"/>
      <c r="S213" s="95"/>
      <c r="T213" s="95"/>
      <c r="U213" s="95"/>
      <c r="V213" s="95"/>
      <c r="W213" s="95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</row>
    <row r="214" spans="1:34" ht="14.4" customHeight="1" x14ac:dyDescent="0.25">
      <c r="A214" s="77"/>
      <c r="B214" s="77"/>
      <c r="C214" s="77"/>
      <c r="D214" s="77"/>
      <c r="E214" s="77"/>
      <c r="F214" s="77"/>
      <c r="G214" s="90"/>
      <c r="H214" s="91"/>
      <c r="I214" s="91"/>
      <c r="J214" s="77"/>
      <c r="K214" s="77"/>
      <c r="L214" s="77"/>
      <c r="M214" s="77"/>
      <c r="N214" s="91"/>
      <c r="O214" s="91"/>
      <c r="P214" s="77"/>
      <c r="Q214" s="95"/>
      <c r="R214" s="95"/>
      <c r="S214" s="95"/>
      <c r="T214" s="95"/>
      <c r="U214" s="95"/>
      <c r="V214" s="95"/>
      <c r="W214" s="95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</row>
    <row r="215" spans="1:34" ht="14.4" customHeight="1" x14ac:dyDescent="0.25">
      <c r="A215" s="77"/>
      <c r="B215" s="77"/>
      <c r="C215" s="77"/>
      <c r="D215" s="77"/>
      <c r="E215" s="77"/>
      <c r="F215" s="77"/>
      <c r="G215" s="90"/>
      <c r="H215" s="91"/>
      <c r="I215" s="91"/>
      <c r="J215" s="77"/>
      <c r="K215" s="77"/>
      <c r="L215" s="77"/>
      <c r="M215" s="77"/>
      <c r="N215" s="91"/>
      <c r="O215" s="91"/>
      <c r="P215" s="77"/>
      <c r="Q215" s="95"/>
      <c r="R215" s="95"/>
      <c r="S215" s="95"/>
      <c r="T215" s="95"/>
      <c r="U215" s="95"/>
      <c r="V215" s="95"/>
      <c r="W215" s="95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</row>
    <row r="216" spans="1:34" ht="14.4" customHeight="1" x14ac:dyDescent="0.25">
      <c r="A216" s="77"/>
      <c r="B216" s="77"/>
      <c r="C216" s="77"/>
      <c r="D216" s="77"/>
      <c r="E216" s="77"/>
      <c r="F216" s="77"/>
      <c r="G216" s="90"/>
      <c r="H216" s="91"/>
      <c r="I216" s="91"/>
      <c r="J216" s="77"/>
      <c r="K216" s="77"/>
      <c r="L216" s="77"/>
      <c r="M216" s="77"/>
      <c r="N216" s="91"/>
      <c r="O216" s="91"/>
      <c r="P216" s="77"/>
      <c r="Q216" s="95"/>
      <c r="R216" s="95"/>
      <c r="S216" s="95"/>
      <c r="T216" s="95"/>
      <c r="U216" s="95"/>
      <c r="V216" s="95"/>
      <c r="W216" s="95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</row>
    <row r="217" spans="1:34" ht="14.4" customHeight="1" x14ac:dyDescent="0.25">
      <c r="A217" s="77"/>
      <c r="B217" s="77"/>
      <c r="C217" s="77"/>
      <c r="D217" s="77"/>
      <c r="E217" s="77"/>
      <c r="F217" s="77"/>
      <c r="G217" s="90"/>
      <c r="H217" s="91"/>
      <c r="I217" s="91"/>
      <c r="J217" s="77"/>
      <c r="K217" s="77"/>
      <c r="L217" s="77"/>
      <c r="M217" s="77"/>
      <c r="N217" s="91"/>
      <c r="O217" s="91"/>
      <c r="P217" s="77"/>
      <c r="Q217" s="95"/>
      <c r="R217" s="95"/>
      <c r="S217" s="95"/>
      <c r="T217" s="95"/>
      <c r="U217" s="95"/>
      <c r="V217" s="95"/>
      <c r="W217" s="95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</row>
    <row r="218" spans="1:34" ht="14.4" customHeight="1" x14ac:dyDescent="0.25">
      <c r="A218" s="77"/>
      <c r="B218" s="77"/>
      <c r="C218" s="77"/>
      <c r="D218" s="77"/>
      <c r="E218" s="77"/>
      <c r="F218" s="77"/>
      <c r="G218" s="90"/>
      <c r="H218" s="91"/>
      <c r="I218" s="91"/>
      <c r="J218" s="77"/>
      <c r="K218" s="77"/>
      <c r="L218" s="77"/>
      <c r="M218" s="77"/>
      <c r="N218" s="91"/>
      <c r="O218" s="91"/>
      <c r="P218" s="77"/>
      <c r="Q218" s="95"/>
      <c r="R218" s="95"/>
      <c r="S218" s="95"/>
      <c r="T218" s="95"/>
      <c r="U218" s="95"/>
      <c r="V218" s="95"/>
      <c r="W218" s="95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</row>
    <row r="219" spans="1:34" ht="14.4" customHeight="1" x14ac:dyDescent="0.25">
      <c r="A219" s="77"/>
      <c r="B219" s="77"/>
      <c r="C219" s="77"/>
      <c r="D219" s="77"/>
      <c r="E219" s="77"/>
      <c r="F219" s="77"/>
      <c r="G219" s="90"/>
      <c r="H219" s="91"/>
      <c r="I219" s="91"/>
      <c r="J219" s="77"/>
      <c r="K219" s="77"/>
      <c r="L219" s="77"/>
      <c r="M219" s="77"/>
      <c r="N219" s="91"/>
      <c r="O219" s="91"/>
      <c r="P219" s="77"/>
      <c r="Q219" s="95"/>
      <c r="R219" s="95"/>
      <c r="S219" s="95"/>
      <c r="T219" s="95"/>
      <c r="U219" s="95"/>
      <c r="V219" s="95"/>
      <c r="W219" s="95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</row>
    <row r="220" spans="1:34" ht="14.4" customHeight="1" x14ac:dyDescent="0.25">
      <c r="A220" s="77"/>
      <c r="B220" s="77"/>
      <c r="C220" s="77"/>
      <c r="D220" s="77"/>
      <c r="E220" s="77"/>
      <c r="F220" s="77"/>
      <c r="G220" s="90"/>
      <c r="H220" s="91"/>
      <c r="I220" s="91"/>
      <c r="J220" s="77"/>
      <c r="K220" s="77"/>
      <c r="L220" s="77"/>
      <c r="M220" s="77"/>
      <c r="N220" s="91"/>
      <c r="O220" s="91"/>
      <c r="P220" s="77"/>
      <c r="Q220" s="95"/>
      <c r="R220" s="95"/>
      <c r="S220" s="95"/>
      <c r="T220" s="95"/>
      <c r="U220" s="95"/>
      <c r="V220" s="95"/>
      <c r="W220" s="95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</row>
    <row r="221" spans="1:34" ht="14.4" customHeight="1" x14ac:dyDescent="0.25">
      <c r="A221" s="77"/>
      <c r="B221" s="77"/>
      <c r="C221" s="77"/>
      <c r="D221" s="77"/>
      <c r="E221" s="77"/>
      <c r="F221" s="77"/>
      <c r="G221" s="90"/>
      <c r="H221" s="91"/>
      <c r="I221" s="91"/>
      <c r="J221" s="77"/>
      <c r="K221" s="77"/>
      <c r="L221" s="77"/>
      <c r="M221" s="77"/>
      <c r="N221" s="91"/>
      <c r="O221" s="91"/>
      <c r="P221" s="77"/>
      <c r="Q221" s="95"/>
      <c r="R221" s="95"/>
      <c r="S221" s="95"/>
      <c r="T221" s="95"/>
      <c r="U221" s="95"/>
      <c r="V221" s="95"/>
      <c r="W221" s="95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</row>
    <row r="222" spans="1:34" ht="14.4" customHeight="1" x14ac:dyDescent="0.25">
      <c r="A222" s="77"/>
      <c r="B222" s="77"/>
      <c r="C222" s="77"/>
      <c r="D222" s="77"/>
      <c r="E222" s="77"/>
      <c r="F222" s="77"/>
      <c r="G222" s="90"/>
      <c r="H222" s="91"/>
      <c r="I222" s="91"/>
      <c r="J222" s="77"/>
      <c r="K222" s="77"/>
      <c r="L222" s="77"/>
      <c r="M222" s="77"/>
      <c r="N222" s="91"/>
      <c r="O222" s="91"/>
      <c r="P222" s="77"/>
      <c r="Q222" s="95"/>
      <c r="R222" s="95"/>
      <c r="S222" s="95"/>
      <c r="T222" s="95"/>
      <c r="U222" s="95"/>
      <c r="V222" s="95"/>
      <c r="W222" s="95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</row>
    <row r="223" spans="1:34" ht="14.4" customHeight="1" x14ac:dyDescent="0.25">
      <c r="A223" s="77"/>
      <c r="B223" s="77"/>
      <c r="C223" s="77"/>
      <c r="D223" s="77"/>
      <c r="E223" s="77"/>
      <c r="F223" s="77"/>
      <c r="G223" s="90"/>
      <c r="H223" s="91"/>
      <c r="I223" s="91"/>
      <c r="J223" s="77"/>
      <c r="K223" s="77"/>
      <c r="L223" s="77"/>
      <c r="M223" s="77"/>
      <c r="N223" s="91"/>
      <c r="O223" s="91"/>
      <c r="P223" s="77"/>
      <c r="Q223" s="95"/>
      <c r="R223" s="95"/>
      <c r="S223" s="95"/>
      <c r="T223" s="95"/>
      <c r="U223" s="95"/>
      <c r="V223" s="95"/>
      <c r="W223" s="95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</row>
    <row r="224" spans="1:34" ht="14.4" customHeight="1" x14ac:dyDescent="0.25">
      <c r="A224" s="77"/>
      <c r="B224" s="77"/>
      <c r="C224" s="77"/>
      <c r="D224" s="77"/>
      <c r="E224" s="77"/>
      <c r="F224" s="77"/>
      <c r="G224" s="90"/>
      <c r="H224" s="91"/>
      <c r="I224" s="91"/>
      <c r="J224" s="77"/>
      <c r="K224" s="77"/>
      <c r="L224" s="77"/>
      <c r="M224" s="77"/>
      <c r="N224" s="91"/>
      <c r="O224" s="91"/>
      <c r="P224" s="77"/>
      <c r="Q224" s="95"/>
      <c r="R224" s="95"/>
      <c r="S224" s="95"/>
      <c r="T224" s="95"/>
      <c r="U224" s="95"/>
      <c r="V224" s="95"/>
      <c r="W224" s="95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</row>
    <row r="225" spans="1:34" ht="14.4" customHeight="1" x14ac:dyDescent="0.25">
      <c r="A225" s="77"/>
      <c r="B225" s="77"/>
      <c r="C225" s="77"/>
      <c r="D225" s="77"/>
      <c r="E225" s="77"/>
      <c r="F225" s="77"/>
      <c r="G225" s="90"/>
      <c r="H225" s="91"/>
      <c r="I225" s="91"/>
      <c r="J225" s="77"/>
      <c r="K225" s="77"/>
      <c r="L225" s="77"/>
      <c r="M225" s="77"/>
      <c r="N225" s="91"/>
      <c r="O225" s="91"/>
      <c r="P225" s="77"/>
      <c r="Q225" s="95"/>
      <c r="R225" s="95"/>
      <c r="S225" s="95"/>
      <c r="T225" s="95"/>
      <c r="U225" s="95"/>
      <c r="V225" s="95"/>
      <c r="W225" s="95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</row>
    <row r="226" spans="1:34" ht="14.4" customHeight="1" x14ac:dyDescent="0.25">
      <c r="A226" s="77"/>
      <c r="B226" s="77"/>
      <c r="C226" s="77"/>
      <c r="D226" s="77"/>
      <c r="E226" s="77"/>
      <c r="F226" s="77"/>
      <c r="G226" s="90"/>
      <c r="H226" s="91"/>
      <c r="I226" s="91"/>
      <c r="J226" s="77"/>
      <c r="K226" s="77"/>
      <c r="L226" s="77"/>
      <c r="M226" s="77"/>
      <c r="N226" s="91"/>
      <c r="O226" s="91"/>
      <c r="P226" s="77"/>
      <c r="Q226" s="95"/>
      <c r="R226" s="95"/>
      <c r="S226" s="95"/>
      <c r="T226" s="95"/>
      <c r="U226" s="95"/>
      <c r="V226" s="95"/>
      <c r="W226" s="95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</row>
    <row r="227" spans="1:34" ht="14.4" customHeight="1" x14ac:dyDescent="0.25">
      <c r="A227" s="77"/>
      <c r="B227" s="77"/>
      <c r="C227" s="77"/>
      <c r="D227" s="77"/>
      <c r="E227" s="77"/>
      <c r="F227" s="77"/>
      <c r="G227" s="90"/>
      <c r="H227" s="91"/>
      <c r="I227" s="91"/>
      <c r="J227" s="77"/>
      <c r="K227" s="77"/>
      <c r="L227" s="77"/>
      <c r="M227" s="77"/>
      <c r="N227" s="91"/>
      <c r="O227" s="91"/>
      <c r="P227" s="77"/>
      <c r="Q227" s="95"/>
      <c r="R227" s="95"/>
      <c r="S227" s="95"/>
      <c r="T227" s="95"/>
      <c r="U227" s="95"/>
      <c r="V227" s="95"/>
      <c r="W227" s="95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</row>
    <row r="228" spans="1:34" ht="14.4" customHeight="1" x14ac:dyDescent="0.25">
      <c r="A228" s="77"/>
      <c r="B228" s="77"/>
      <c r="C228" s="77"/>
      <c r="D228" s="77"/>
      <c r="E228" s="77"/>
      <c r="F228" s="77"/>
      <c r="G228" s="90"/>
      <c r="H228" s="91"/>
      <c r="I228" s="91"/>
      <c r="J228" s="77"/>
      <c r="K228" s="77"/>
      <c r="L228" s="77"/>
      <c r="M228" s="77"/>
      <c r="N228" s="91"/>
      <c r="O228" s="91"/>
      <c r="P228" s="77"/>
      <c r="Q228" s="95"/>
      <c r="R228" s="95"/>
      <c r="S228" s="95"/>
      <c r="T228" s="95"/>
      <c r="U228" s="95"/>
      <c r="V228" s="95"/>
      <c r="W228" s="95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</row>
    <row r="229" spans="1:34" ht="14.4" customHeight="1" x14ac:dyDescent="0.25">
      <c r="A229" s="77"/>
      <c r="B229" s="77"/>
      <c r="C229" s="77"/>
      <c r="D229" s="77"/>
      <c r="E229" s="77"/>
      <c r="F229" s="77"/>
      <c r="G229" s="90"/>
      <c r="H229" s="91"/>
      <c r="I229" s="91"/>
      <c r="J229" s="77"/>
      <c r="K229" s="77"/>
      <c r="L229" s="77"/>
      <c r="M229" s="77"/>
      <c r="N229" s="91"/>
      <c r="O229" s="91"/>
      <c r="P229" s="77"/>
      <c r="Q229" s="95"/>
      <c r="R229" s="95"/>
      <c r="S229" s="95"/>
      <c r="T229" s="95"/>
      <c r="U229" s="95"/>
      <c r="V229" s="95"/>
      <c r="W229" s="95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</row>
    <row r="230" spans="1:34" ht="14.4" customHeight="1" x14ac:dyDescent="0.25">
      <c r="A230" s="77"/>
      <c r="B230" s="77"/>
      <c r="C230" s="77"/>
      <c r="D230" s="77"/>
      <c r="E230" s="77"/>
      <c r="F230" s="77"/>
      <c r="G230" s="90"/>
      <c r="H230" s="91"/>
      <c r="I230" s="91"/>
      <c r="J230" s="77"/>
      <c r="K230" s="77"/>
      <c r="L230" s="77"/>
      <c r="M230" s="77"/>
      <c r="N230" s="91"/>
      <c r="O230" s="91"/>
      <c r="P230" s="77"/>
      <c r="Q230" s="95"/>
      <c r="R230" s="95"/>
      <c r="S230" s="95"/>
      <c r="T230" s="95"/>
      <c r="U230" s="95"/>
      <c r="V230" s="95"/>
      <c r="W230" s="95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</row>
    <row r="231" spans="1:34" ht="14.4" customHeight="1" x14ac:dyDescent="0.25">
      <c r="A231" s="77"/>
      <c r="B231" s="77"/>
      <c r="C231" s="77"/>
      <c r="D231" s="77"/>
      <c r="E231" s="77"/>
      <c r="F231" s="77"/>
      <c r="G231" s="90"/>
      <c r="H231" s="91"/>
      <c r="I231" s="91"/>
      <c r="J231" s="77"/>
      <c r="K231" s="77"/>
      <c r="L231" s="77"/>
      <c r="M231" s="77"/>
      <c r="N231" s="91"/>
      <c r="O231" s="91"/>
      <c r="P231" s="77"/>
      <c r="Q231" s="95"/>
      <c r="R231" s="95"/>
      <c r="S231" s="95"/>
      <c r="T231" s="95"/>
      <c r="U231" s="95"/>
      <c r="V231" s="95"/>
      <c r="W231" s="95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</row>
    <row r="232" spans="1:34" ht="14.4" customHeight="1" x14ac:dyDescent="0.25">
      <c r="A232" s="77"/>
      <c r="B232" s="77"/>
      <c r="C232" s="77"/>
      <c r="D232" s="77"/>
      <c r="E232" s="77"/>
      <c r="F232" s="77"/>
      <c r="G232" s="90"/>
      <c r="H232" s="91"/>
      <c r="I232" s="91"/>
      <c r="J232" s="77"/>
      <c r="K232" s="77"/>
      <c r="L232" s="77"/>
      <c r="M232" s="77"/>
      <c r="N232" s="91"/>
      <c r="O232" s="91"/>
      <c r="P232" s="77"/>
      <c r="Q232" s="95"/>
      <c r="R232" s="95"/>
      <c r="S232" s="95"/>
      <c r="T232" s="95"/>
      <c r="U232" s="95"/>
      <c r="V232" s="95"/>
      <c r="W232" s="95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</row>
    <row r="233" spans="1:34" ht="14.4" customHeight="1" x14ac:dyDescent="0.25">
      <c r="A233" s="77"/>
      <c r="B233" s="77"/>
      <c r="C233" s="77"/>
      <c r="D233" s="77"/>
      <c r="E233" s="77"/>
      <c r="F233" s="77"/>
      <c r="G233" s="90"/>
      <c r="H233" s="91"/>
      <c r="I233" s="91"/>
      <c r="J233" s="77"/>
      <c r="K233" s="77"/>
      <c r="L233" s="77"/>
      <c r="M233" s="77"/>
      <c r="N233" s="91"/>
      <c r="O233" s="91"/>
      <c r="P233" s="77"/>
      <c r="Q233" s="95"/>
      <c r="R233" s="95"/>
      <c r="S233" s="95"/>
      <c r="T233" s="95"/>
      <c r="U233" s="95"/>
      <c r="V233" s="95"/>
      <c r="W233" s="95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</row>
    <row r="234" spans="1:34" ht="14.4" customHeight="1" x14ac:dyDescent="0.25">
      <c r="A234" s="77"/>
      <c r="B234" s="77"/>
      <c r="C234" s="77"/>
      <c r="D234" s="77"/>
      <c r="E234" s="77"/>
      <c r="F234" s="77"/>
      <c r="G234" s="90"/>
      <c r="H234" s="91"/>
      <c r="I234" s="91"/>
      <c r="J234" s="77"/>
      <c r="K234" s="77"/>
      <c r="L234" s="77"/>
      <c r="M234" s="77"/>
      <c r="N234" s="91"/>
      <c r="O234" s="91"/>
      <c r="P234" s="77"/>
      <c r="Q234" s="95"/>
      <c r="R234" s="95"/>
      <c r="S234" s="95"/>
      <c r="T234" s="95"/>
      <c r="U234" s="95"/>
      <c r="V234" s="95"/>
      <c r="W234" s="95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</row>
    <row r="235" spans="1:34" ht="14.4" customHeight="1" x14ac:dyDescent="0.25">
      <c r="A235" s="77"/>
      <c r="B235" s="77"/>
      <c r="C235" s="77"/>
      <c r="D235" s="77"/>
      <c r="E235" s="77"/>
      <c r="F235" s="77"/>
      <c r="G235" s="90"/>
      <c r="H235" s="91"/>
      <c r="I235" s="91"/>
      <c r="J235" s="77"/>
      <c r="K235" s="77"/>
      <c r="L235" s="77"/>
      <c r="M235" s="77"/>
      <c r="N235" s="91"/>
      <c r="O235" s="91"/>
      <c r="P235" s="77"/>
      <c r="Q235" s="95"/>
      <c r="R235" s="95"/>
      <c r="S235" s="95"/>
      <c r="T235" s="95"/>
      <c r="U235" s="95"/>
      <c r="V235" s="95"/>
      <c r="W235" s="95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</row>
    <row r="236" spans="1:34" ht="14.4" customHeight="1" x14ac:dyDescent="0.25">
      <c r="A236" s="77"/>
      <c r="B236" s="77"/>
      <c r="C236" s="77"/>
      <c r="D236" s="77"/>
      <c r="E236" s="77"/>
      <c r="F236" s="77"/>
      <c r="G236" s="90"/>
      <c r="H236" s="91"/>
      <c r="I236" s="91"/>
      <c r="J236" s="77"/>
      <c r="K236" s="77"/>
      <c r="L236" s="77"/>
      <c r="M236" s="77"/>
      <c r="N236" s="91"/>
      <c r="O236" s="91"/>
      <c r="P236" s="77"/>
      <c r="Q236" s="95"/>
      <c r="R236" s="95"/>
      <c r="S236" s="95"/>
      <c r="T236" s="95"/>
      <c r="U236" s="95"/>
      <c r="V236" s="95"/>
      <c r="W236" s="95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</row>
    <row r="237" spans="1:34" ht="14.4" customHeight="1" x14ac:dyDescent="0.25">
      <c r="A237" s="77"/>
      <c r="B237" s="77"/>
      <c r="C237" s="77"/>
      <c r="D237" s="77"/>
      <c r="E237" s="77"/>
      <c r="F237" s="77"/>
      <c r="G237" s="90"/>
      <c r="H237" s="91"/>
      <c r="I237" s="91"/>
      <c r="J237" s="77"/>
      <c r="K237" s="77"/>
      <c r="L237" s="77"/>
      <c r="M237" s="77"/>
      <c r="N237" s="91"/>
      <c r="O237" s="91"/>
      <c r="P237" s="77"/>
      <c r="Q237" s="95"/>
      <c r="R237" s="95"/>
      <c r="S237" s="95"/>
      <c r="T237" s="95"/>
      <c r="U237" s="95"/>
      <c r="V237" s="95"/>
      <c r="W237" s="95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</row>
    <row r="238" spans="1:34" ht="14.4" customHeight="1" x14ac:dyDescent="0.25">
      <c r="A238" s="77"/>
      <c r="B238" s="77"/>
      <c r="C238" s="77"/>
      <c r="D238" s="77"/>
      <c r="E238" s="77"/>
      <c r="F238" s="77"/>
      <c r="G238" s="90"/>
      <c r="H238" s="91"/>
      <c r="I238" s="91"/>
      <c r="J238" s="77"/>
      <c r="K238" s="77"/>
      <c r="L238" s="77"/>
      <c r="M238" s="77"/>
      <c r="N238" s="91"/>
      <c r="O238" s="91"/>
      <c r="P238" s="77"/>
      <c r="Q238" s="95"/>
      <c r="R238" s="95"/>
      <c r="S238" s="95"/>
      <c r="T238" s="95"/>
      <c r="U238" s="95"/>
      <c r="V238" s="95"/>
      <c r="W238" s="95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</row>
    <row r="239" spans="1:34" ht="14.4" customHeight="1" x14ac:dyDescent="0.25">
      <c r="A239" s="77"/>
      <c r="B239" s="77"/>
      <c r="C239" s="77"/>
      <c r="D239" s="77"/>
      <c r="E239" s="77"/>
      <c r="F239" s="77"/>
      <c r="G239" s="90"/>
      <c r="H239" s="91"/>
      <c r="I239" s="91"/>
      <c r="J239" s="77"/>
      <c r="K239" s="77"/>
      <c r="L239" s="77"/>
      <c r="M239" s="77"/>
      <c r="N239" s="91"/>
      <c r="O239" s="91"/>
      <c r="P239" s="77"/>
      <c r="Q239" s="95"/>
      <c r="R239" s="95"/>
      <c r="S239" s="95"/>
      <c r="T239" s="95"/>
      <c r="U239" s="95"/>
      <c r="V239" s="95"/>
      <c r="W239" s="95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</row>
    <row r="240" spans="1:34" ht="14.4" customHeight="1" x14ac:dyDescent="0.25">
      <c r="A240" s="77"/>
      <c r="B240" s="77"/>
      <c r="C240" s="77"/>
      <c r="D240" s="77"/>
      <c r="E240" s="77"/>
      <c r="F240" s="77"/>
      <c r="G240" s="90"/>
      <c r="H240" s="91"/>
      <c r="I240" s="91"/>
      <c r="J240" s="77"/>
      <c r="K240" s="77"/>
      <c r="L240" s="77"/>
      <c r="M240" s="77"/>
      <c r="N240" s="91"/>
      <c r="O240" s="91"/>
      <c r="P240" s="77"/>
      <c r="Q240" s="95"/>
      <c r="R240" s="95"/>
      <c r="S240" s="95"/>
      <c r="T240" s="95"/>
      <c r="U240" s="95"/>
      <c r="V240" s="95"/>
      <c r="W240" s="95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</row>
    <row r="241" spans="1:34" ht="14.4" customHeight="1" x14ac:dyDescent="0.25">
      <c r="A241" s="77"/>
      <c r="B241" s="77"/>
      <c r="C241" s="77"/>
      <c r="D241" s="77"/>
      <c r="E241" s="77"/>
      <c r="F241" s="77"/>
      <c r="G241" s="90"/>
      <c r="H241" s="91"/>
      <c r="I241" s="91"/>
      <c r="J241" s="77"/>
      <c r="K241" s="77"/>
      <c r="L241" s="77"/>
      <c r="M241" s="77"/>
      <c r="N241" s="91"/>
      <c r="O241" s="91"/>
      <c r="P241" s="77"/>
      <c r="Q241" s="95"/>
      <c r="R241" s="95"/>
      <c r="S241" s="95"/>
      <c r="T241" s="95"/>
      <c r="U241" s="95"/>
      <c r="V241" s="95"/>
      <c r="W241" s="95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</row>
    <row r="242" spans="1:34" ht="14.4" customHeight="1" x14ac:dyDescent="0.25">
      <c r="A242" s="77"/>
      <c r="B242" s="77"/>
      <c r="C242" s="77"/>
      <c r="D242" s="77"/>
      <c r="E242" s="77"/>
      <c r="F242" s="77"/>
      <c r="G242" s="90"/>
      <c r="H242" s="91"/>
      <c r="I242" s="91"/>
      <c r="J242" s="77"/>
      <c r="K242" s="77"/>
      <c r="L242" s="77"/>
      <c r="M242" s="77"/>
      <c r="N242" s="91"/>
      <c r="O242" s="91"/>
      <c r="P242" s="77"/>
      <c r="Q242" s="95"/>
      <c r="R242" s="95"/>
      <c r="S242" s="95"/>
      <c r="T242" s="95"/>
      <c r="U242" s="95"/>
      <c r="V242" s="95"/>
      <c r="W242" s="95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</row>
    <row r="243" spans="1:34" ht="14.4" customHeight="1" x14ac:dyDescent="0.25">
      <c r="A243" s="77"/>
      <c r="B243" s="77"/>
      <c r="C243" s="77"/>
      <c r="D243" s="77"/>
      <c r="E243" s="77"/>
      <c r="F243" s="77"/>
      <c r="G243" s="90"/>
      <c r="H243" s="91"/>
      <c r="I243" s="91"/>
      <c r="J243" s="77"/>
      <c r="K243" s="77"/>
      <c r="L243" s="77"/>
      <c r="M243" s="77"/>
      <c r="N243" s="91"/>
      <c r="O243" s="91"/>
      <c r="P243" s="77"/>
      <c r="Q243" s="95"/>
      <c r="R243" s="95"/>
      <c r="S243" s="95"/>
      <c r="T243" s="95"/>
      <c r="U243" s="95"/>
      <c r="V243" s="95"/>
      <c r="W243" s="95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</row>
    <row r="244" spans="1:34" ht="14.4" customHeight="1" x14ac:dyDescent="0.25">
      <c r="A244" s="77"/>
      <c r="B244" s="77"/>
      <c r="C244" s="77"/>
      <c r="D244" s="77"/>
      <c r="E244" s="77"/>
      <c r="F244" s="77"/>
      <c r="G244" s="90"/>
      <c r="H244" s="91"/>
      <c r="I244" s="91"/>
      <c r="J244" s="77"/>
      <c r="K244" s="77"/>
      <c r="L244" s="77"/>
      <c r="M244" s="77"/>
      <c r="N244" s="91"/>
      <c r="O244" s="91"/>
      <c r="P244" s="77"/>
      <c r="Q244" s="95"/>
      <c r="R244" s="95"/>
      <c r="S244" s="95"/>
      <c r="T244" s="95"/>
      <c r="U244" s="95"/>
      <c r="V244" s="95"/>
      <c r="W244" s="95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</row>
    <row r="245" spans="1:34" ht="14.4" customHeight="1" x14ac:dyDescent="0.25">
      <c r="A245" s="77"/>
      <c r="B245" s="77"/>
      <c r="C245" s="77"/>
      <c r="D245" s="77"/>
      <c r="E245" s="77"/>
      <c r="F245" s="77"/>
      <c r="G245" s="90"/>
      <c r="H245" s="91"/>
      <c r="I245" s="91"/>
      <c r="J245" s="77"/>
      <c r="K245" s="77"/>
      <c r="L245" s="77"/>
      <c r="M245" s="77"/>
      <c r="N245" s="91"/>
      <c r="O245" s="91"/>
      <c r="P245" s="77"/>
      <c r="Q245" s="95"/>
      <c r="R245" s="95"/>
      <c r="S245" s="95"/>
      <c r="T245" s="95"/>
      <c r="U245" s="95"/>
      <c r="V245" s="95"/>
      <c r="W245" s="95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</row>
    <row r="246" spans="1:34" ht="14.4" customHeight="1" x14ac:dyDescent="0.25">
      <c r="A246" s="77"/>
      <c r="B246" s="77"/>
      <c r="C246" s="77"/>
      <c r="D246" s="77"/>
      <c r="E246" s="77"/>
      <c r="F246" s="77"/>
      <c r="G246" s="90"/>
      <c r="H246" s="91"/>
      <c r="I246" s="91"/>
      <c r="J246" s="77"/>
      <c r="K246" s="77"/>
      <c r="L246" s="77"/>
      <c r="M246" s="77"/>
      <c r="N246" s="91"/>
      <c r="O246" s="91"/>
      <c r="P246" s="77"/>
      <c r="Q246" s="95"/>
      <c r="R246" s="95"/>
      <c r="S246" s="95"/>
      <c r="T246" s="95"/>
      <c r="U246" s="95"/>
      <c r="V246" s="95"/>
      <c r="W246" s="95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</row>
    <row r="247" spans="1:34" ht="14.4" customHeight="1" x14ac:dyDescent="0.25">
      <c r="A247" s="77"/>
      <c r="B247" s="77"/>
      <c r="C247" s="77"/>
      <c r="D247" s="77"/>
      <c r="E247" s="77"/>
      <c r="F247" s="77"/>
      <c r="G247" s="90"/>
      <c r="H247" s="91"/>
      <c r="I247" s="91"/>
      <c r="J247" s="77"/>
      <c r="K247" s="77"/>
      <c r="L247" s="77"/>
      <c r="M247" s="77"/>
      <c r="N247" s="91"/>
      <c r="O247" s="91"/>
      <c r="P247" s="77"/>
      <c r="Q247" s="95"/>
      <c r="R247" s="95"/>
      <c r="S247" s="95"/>
      <c r="T247" s="95"/>
      <c r="U247" s="95"/>
      <c r="V247" s="95"/>
      <c r="W247" s="95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</row>
    <row r="248" spans="1:34" ht="14.4" customHeight="1" x14ac:dyDescent="0.25">
      <c r="A248" s="77"/>
      <c r="B248" s="77"/>
      <c r="C248" s="77"/>
      <c r="D248" s="77"/>
      <c r="E248" s="77"/>
      <c r="F248" s="77"/>
      <c r="G248" s="90"/>
      <c r="H248" s="91"/>
      <c r="I248" s="91"/>
      <c r="J248" s="77"/>
      <c r="K248" s="77"/>
      <c r="L248" s="77"/>
      <c r="M248" s="77"/>
      <c r="N248" s="91"/>
      <c r="O248" s="91"/>
      <c r="P248" s="77"/>
      <c r="Q248" s="95"/>
      <c r="R248" s="95"/>
      <c r="S248" s="95"/>
      <c r="T248" s="95"/>
      <c r="U248" s="95"/>
      <c r="V248" s="95"/>
      <c r="W248" s="95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</row>
    <row r="249" spans="1:34" ht="14.4" customHeight="1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</row>
    <row r="250" spans="1:34" ht="14.4" customHeight="1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</row>
    <row r="251" spans="1:34" ht="14.4" customHeight="1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</row>
    <row r="252" spans="1:34" ht="14.4" customHeight="1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</row>
    <row r="253" spans="1:34" ht="14.4" customHeight="1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</row>
    <row r="254" spans="1:34" ht="14.4" customHeight="1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</row>
    <row r="255" spans="1:34" ht="14.4" customHeight="1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</row>
    <row r="256" spans="1:34" ht="14.4" customHeight="1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</row>
    <row r="257" spans="1:34" ht="14.4" customHeight="1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</row>
    <row r="258" spans="1:34" ht="14.4" customHeight="1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</row>
    <row r="259" spans="1:34" ht="14.4" customHeigh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</row>
    <row r="260" spans="1:34" ht="14.4" customHeight="1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</row>
    <row r="261" spans="1:34" ht="14.4" customHeight="1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</row>
    <row r="262" spans="1:34" ht="14.4" customHeight="1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</row>
    <row r="263" spans="1:34" ht="14.4" customHeight="1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</row>
    <row r="264" spans="1:34" ht="14.4" customHeight="1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</row>
    <row r="265" spans="1:34" ht="14.4" customHeight="1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</row>
    <row r="266" spans="1:34" ht="14.4" customHeight="1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</row>
    <row r="267" spans="1:34" ht="14.4" customHeight="1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</row>
    <row r="268" spans="1:34" ht="14.4" customHeight="1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</row>
    <row r="269" spans="1:34" ht="14.4" customHeight="1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</row>
    <row r="270" spans="1:34" ht="14.4" customHeight="1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</row>
    <row r="271" spans="1:34" ht="14.4" customHeight="1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</row>
    <row r="272" spans="1:34" ht="14.4" customHeight="1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</row>
    <row r="273" spans="1:34" ht="14.4" customHeight="1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</row>
    <row r="274" spans="1:34" ht="14.4" customHeigh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</row>
    <row r="275" spans="1:34" ht="14.4" customHeight="1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</row>
    <row r="276" spans="1:34" ht="14.4" customHeight="1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</row>
    <row r="277" spans="1:34" ht="14.4" customHeight="1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</row>
    <row r="278" spans="1:34" ht="14.4" customHeight="1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</row>
    <row r="279" spans="1:34" ht="14.4" customHeight="1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</row>
    <row r="280" spans="1:34" ht="14.4" customHeight="1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</row>
    <row r="281" spans="1:34" ht="14.4" customHeight="1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</row>
    <row r="282" spans="1:34" ht="14.4" customHeight="1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</row>
    <row r="283" spans="1:34" ht="14.4" customHeight="1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</row>
    <row r="284" spans="1:34" ht="14.4" customHeight="1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</row>
    <row r="285" spans="1:34" ht="14.4" customHeight="1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</row>
    <row r="286" spans="1:34" ht="14.4" customHeight="1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</row>
    <row r="287" spans="1:34" ht="14.4" customHeight="1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</row>
    <row r="288" spans="1:34" ht="14.4" customHeight="1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</row>
    <row r="289" spans="1:34" ht="14.4" customHeigh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</row>
    <row r="290" spans="1:34" ht="14.4" customHeight="1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</row>
    <row r="291" spans="1:34" ht="14.4" customHeight="1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</row>
    <row r="292" spans="1:34" ht="14.4" customHeight="1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</row>
    <row r="293" spans="1:34" ht="14.4" customHeight="1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</row>
    <row r="294" spans="1:34" ht="14.4" customHeight="1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</row>
    <row r="295" spans="1:34" ht="14.4" customHeight="1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</row>
    <row r="296" spans="1:34" ht="14.4" customHeight="1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</row>
    <row r="297" spans="1:34" ht="14.4" customHeight="1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</row>
    <row r="298" spans="1:34" ht="14.4" customHeight="1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</row>
    <row r="299" spans="1:34" ht="14.4" customHeight="1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</row>
    <row r="300" spans="1:34" ht="14.4" customHeight="1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</row>
    <row r="301" spans="1:34" ht="14.4" customHeight="1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</row>
    <row r="302" spans="1:34" ht="14.4" customHeight="1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</row>
    <row r="303" spans="1:34" ht="14.4" customHeight="1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</row>
    <row r="304" spans="1:34" ht="14.4" customHeigh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</row>
    <row r="305" spans="1:34" ht="14.4" customHeight="1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</row>
    <row r="306" spans="1:34" ht="14.4" customHeight="1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</row>
    <row r="307" spans="1:34" ht="14.4" customHeight="1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</row>
    <row r="308" spans="1:34" ht="14.4" customHeight="1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</row>
    <row r="309" spans="1:34" ht="14.4" customHeight="1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</row>
    <row r="310" spans="1:34" ht="14.4" customHeight="1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</row>
    <row r="311" spans="1:34" ht="14.4" customHeight="1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</row>
    <row r="312" spans="1:34" ht="14.4" customHeight="1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</row>
    <row r="313" spans="1:34" ht="14.4" customHeight="1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</row>
    <row r="314" spans="1:34" ht="14.4" customHeight="1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</row>
    <row r="315" spans="1:34" ht="14.4" customHeight="1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</row>
    <row r="316" spans="1:34" ht="14.4" customHeight="1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</row>
    <row r="317" spans="1:34" ht="14.4" customHeight="1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</row>
    <row r="318" spans="1:34" ht="14.4" customHeight="1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</row>
    <row r="319" spans="1:34" ht="14.4" customHeigh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</row>
    <row r="320" spans="1:34" ht="14.4" customHeight="1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</row>
    <row r="321" spans="1:34" ht="14.4" customHeight="1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</row>
    <row r="322" spans="1:34" ht="14.4" customHeight="1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</row>
    <row r="323" spans="1:34" ht="14.4" customHeight="1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</row>
    <row r="324" spans="1:34" ht="14.4" customHeight="1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</row>
    <row r="325" spans="1:34" ht="14.4" customHeight="1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</row>
    <row r="326" spans="1:34" ht="14.4" customHeight="1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</row>
    <row r="327" spans="1:34" ht="14.4" customHeight="1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</row>
    <row r="328" spans="1:34" ht="14.4" customHeight="1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</row>
    <row r="329" spans="1:34" ht="14.4" customHeight="1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</row>
    <row r="330" spans="1:34" ht="14.4" customHeight="1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</row>
    <row r="331" spans="1:34" ht="14.4" customHeight="1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</row>
    <row r="332" spans="1:34" ht="14.4" customHeight="1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</row>
    <row r="333" spans="1:34" ht="14.4" customHeight="1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</row>
    <row r="334" spans="1:34" ht="14.4" customHeigh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</row>
    <row r="335" spans="1:34" ht="14.4" customHeight="1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</row>
    <row r="336" spans="1:34" ht="14.4" customHeight="1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</row>
    <row r="337" spans="1:34" ht="14.4" customHeight="1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</row>
    <row r="338" spans="1:34" ht="14.4" customHeight="1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</row>
    <row r="339" spans="1:34" ht="14.4" customHeight="1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</row>
    <row r="340" spans="1:34" ht="14.4" customHeight="1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</row>
    <row r="341" spans="1:34" ht="14.4" customHeight="1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</row>
    <row r="342" spans="1:34" ht="14.4" customHeight="1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</row>
    <row r="343" spans="1:34" ht="14.4" customHeight="1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</row>
    <row r="344" spans="1:34" ht="14.4" customHeight="1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</row>
    <row r="345" spans="1:34" ht="14.4" customHeight="1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</row>
    <row r="346" spans="1:34" ht="14.4" customHeight="1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</row>
    <row r="347" spans="1:34" ht="14.4" customHeight="1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</row>
    <row r="348" spans="1:34" ht="14.4" customHeight="1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</row>
    <row r="349" spans="1:34" ht="14.4" customHeigh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</row>
    <row r="350" spans="1:34" ht="14.4" customHeight="1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</row>
    <row r="351" spans="1:34" ht="14.4" customHeight="1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</row>
    <row r="352" spans="1:34" ht="14.4" customHeight="1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</row>
    <row r="353" spans="1:34" ht="14.4" customHeight="1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</row>
    <row r="354" spans="1:34" ht="14.4" customHeight="1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</row>
    <row r="355" spans="1:34" ht="14.4" customHeight="1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</row>
    <row r="356" spans="1:34" ht="14.4" customHeight="1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</row>
    <row r="357" spans="1:34" ht="14.4" customHeight="1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</row>
    <row r="358" spans="1:34" ht="14.4" customHeight="1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</row>
    <row r="359" spans="1:34" ht="14.4" customHeight="1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</row>
    <row r="360" spans="1:34" ht="14.4" customHeight="1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</row>
    <row r="361" spans="1:34" ht="14.4" customHeight="1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</row>
    <row r="362" spans="1:34" ht="14.4" customHeight="1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</row>
    <row r="363" spans="1:34" ht="14.4" customHeight="1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</row>
    <row r="364" spans="1:34" ht="14.4" customHeight="1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</row>
    <row r="365" spans="1:34" ht="14.4" customHeight="1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</row>
    <row r="366" spans="1:34" ht="14.4" customHeight="1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</row>
    <row r="367" spans="1:34" ht="14.4" customHeight="1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</row>
    <row r="368" spans="1:34" ht="14.4" customHeight="1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</row>
    <row r="369" spans="1:34" ht="14.4" customHeight="1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</row>
    <row r="370" spans="1:34" ht="14.4" customHeight="1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</row>
    <row r="371" spans="1:34" ht="14.4" customHeight="1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</row>
    <row r="372" spans="1:34" ht="14.4" customHeight="1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</row>
    <row r="373" spans="1:34" ht="14.4" customHeight="1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</row>
    <row r="374" spans="1:34" ht="14.4" customHeight="1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</row>
    <row r="375" spans="1:34" ht="14.4" customHeight="1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</row>
    <row r="376" spans="1:34" ht="14.4" customHeight="1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</row>
    <row r="377" spans="1:34" ht="14.4" customHeight="1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</row>
    <row r="378" spans="1:34" ht="14.4" customHeight="1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</row>
    <row r="379" spans="1:34" ht="14.4" customHeight="1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</row>
    <row r="380" spans="1:34" ht="14.4" customHeight="1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</row>
    <row r="381" spans="1:34" ht="14.4" customHeight="1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</row>
    <row r="382" spans="1:34" ht="14.4" customHeight="1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</row>
    <row r="383" spans="1:34" ht="14.4" customHeight="1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</row>
    <row r="384" spans="1:34" ht="14.4" customHeight="1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</row>
    <row r="385" spans="1:34" ht="14.4" customHeight="1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</row>
    <row r="386" spans="1:34" ht="14.4" customHeight="1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</row>
    <row r="387" spans="1:34" ht="14.4" customHeight="1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</row>
    <row r="388" spans="1:34" ht="14.4" customHeight="1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</row>
    <row r="389" spans="1:34" ht="14.4" customHeight="1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</row>
    <row r="390" spans="1:34" ht="14.4" customHeight="1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</row>
    <row r="391" spans="1:34" ht="14.4" customHeight="1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</row>
    <row r="392" spans="1:34" ht="14.4" customHeight="1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</row>
    <row r="393" spans="1:34" ht="14.4" customHeight="1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</row>
    <row r="394" spans="1:34" ht="14.4" customHeight="1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</row>
    <row r="395" spans="1:34" ht="14.4" customHeight="1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</row>
    <row r="396" spans="1:34" ht="14.4" customHeight="1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</row>
    <row r="397" spans="1:34" ht="14.4" customHeight="1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</row>
    <row r="398" spans="1:34" ht="14.4" customHeight="1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</row>
    <row r="399" spans="1:34" ht="14.4" customHeight="1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</row>
    <row r="400" spans="1:34" ht="14.4" customHeight="1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</row>
    <row r="401" spans="1:34" ht="14.4" customHeight="1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</row>
    <row r="402" spans="1:34" ht="14.4" customHeight="1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</row>
    <row r="403" spans="1:34" ht="14.4" customHeight="1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</row>
    <row r="404" spans="1:34" ht="14.4" customHeight="1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</row>
    <row r="405" spans="1:34" ht="14.4" customHeight="1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</row>
    <row r="406" spans="1:34" ht="14.4" customHeight="1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</row>
    <row r="407" spans="1:34" ht="14.4" customHeight="1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</row>
    <row r="408" spans="1:34" ht="14.4" customHeight="1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</row>
    <row r="409" spans="1:34" ht="14.4" customHeight="1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</row>
    <row r="410" spans="1:34" ht="14.4" customHeight="1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</row>
    <row r="411" spans="1:34" ht="14.4" customHeight="1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</row>
    <row r="412" spans="1:34" ht="14.4" customHeight="1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</row>
    <row r="413" spans="1:34" ht="14.4" customHeight="1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</row>
    <row r="414" spans="1:34" ht="14.4" customHeight="1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</row>
    <row r="415" spans="1:34" ht="14.4" customHeight="1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</row>
    <row r="416" spans="1:34" ht="14.4" customHeight="1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</row>
    <row r="417" spans="1:34" ht="14.4" customHeight="1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</row>
    <row r="418" spans="1:34" ht="14.4" customHeight="1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</row>
    <row r="419" spans="1:34" ht="14.4" customHeight="1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</row>
    <row r="420" spans="1:34" ht="14.4" customHeight="1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</row>
    <row r="421" spans="1:34" ht="14.4" customHeight="1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</row>
    <row r="422" spans="1:34" ht="14.4" customHeight="1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</row>
    <row r="423" spans="1:34" ht="14.4" customHeight="1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</row>
    <row r="424" spans="1:34" ht="14.4" customHeight="1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</row>
    <row r="425" spans="1:34" ht="14.4" customHeight="1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</row>
    <row r="426" spans="1:34" ht="14.4" customHeight="1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</row>
    <row r="427" spans="1:34" ht="14.4" customHeight="1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</row>
    <row r="428" spans="1:34" ht="14.4" customHeight="1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</row>
    <row r="429" spans="1:34" ht="14.4" customHeight="1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</row>
    <row r="430" spans="1:34" ht="14.4" customHeight="1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</row>
    <row r="431" spans="1:34" ht="14.4" customHeight="1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</row>
    <row r="432" spans="1:34" ht="14.4" customHeight="1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</row>
    <row r="433" spans="1:34" ht="14.4" customHeight="1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</row>
    <row r="434" spans="1:34" ht="14.4" customHeight="1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</row>
    <row r="435" spans="1:34" ht="14.4" customHeight="1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</row>
    <row r="436" spans="1:34" ht="14.4" customHeight="1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</row>
    <row r="437" spans="1:34" ht="14.4" customHeight="1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</row>
    <row r="438" spans="1:34" ht="14.4" customHeight="1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</row>
    <row r="439" spans="1:34" ht="14.4" customHeight="1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</row>
    <row r="440" spans="1:34" ht="14.4" customHeight="1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</row>
    <row r="441" spans="1:34" ht="14.4" customHeight="1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</row>
    <row r="442" spans="1:34" ht="14.4" customHeight="1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</row>
    <row r="443" spans="1:34" ht="14.4" customHeight="1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</row>
    <row r="444" spans="1:34" ht="14.4" customHeight="1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</row>
    <row r="445" spans="1:34" ht="14.4" customHeight="1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</row>
    <row r="446" spans="1:34" ht="14.4" customHeight="1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</row>
    <row r="447" spans="1:34" ht="14.4" customHeight="1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</row>
    <row r="448" spans="1:34" ht="14.4" customHeight="1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</row>
    <row r="449" spans="1:34" ht="14.4" customHeight="1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</row>
    <row r="450" spans="1:34" ht="14.4" customHeight="1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</row>
    <row r="451" spans="1:34" ht="14.4" customHeight="1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</row>
    <row r="452" spans="1:34" ht="14.4" customHeight="1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</row>
    <row r="453" spans="1:34" ht="14.4" customHeight="1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</row>
    <row r="454" spans="1:34" ht="14.4" customHeight="1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</row>
    <row r="455" spans="1:34" ht="14.4" customHeight="1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</row>
    <row r="456" spans="1:34" ht="14.4" customHeight="1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</row>
    <row r="457" spans="1:34" ht="14.4" customHeight="1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</row>
    <row r="458" spans="1:34" ht="14.4" customHeight="1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</row>
    <row r="459" spans="1:34" ht="14.4" customHeight="1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</row>
    <row r="460" spans="1:34" ht="14.4" customHeight="1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</row>
    <row r="461" spans="1:34" ht="14.4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</row>
    <row r="462" spans="1:34" ht="14.4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</row>
    <row r="463" spans="1:34" ht="14.4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</row>
    <row r="464" spans="1:34" ht="14.4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</row>
    <row r="465" spans="1:34" ht="14.4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</row>
    <row r="466" spans="1:34" ht="14.4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</row>
    <row r="467" spans="1:34" ht="14.4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</row>
    <row r="468" spans="1:34" ht="14.4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</row>
    <row r="469" spans="1:34" ht="14.4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</row>
    <row r="470" spans="1:34" ht="14.4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</row>
    <row r="471" spans="1:34" ht="14.4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</row>
    <row r="472" spans="1:34" ht="14.4" customHeight="1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</row>
    <row r="473" spans="1:34" ht="14.4" customHeight="1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</row>
    <row r="474" spans="1:34" ht="14.4" customHeight="1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</row>
    <row r="475" spans="1:34" ht="14.4" customHeight="1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</row>
    <row r="476" spans="1:34" ht="14.4" customHeight="1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</row>
    <row r="477" spans="1:34" ht="14.4" customHeight="1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</row>
    <row r="478" spans="1:34" ht="14.4" customHeight="1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</row>
    <row r="479" spans="1:34" ht="14.4" customHeight="1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</row>
    <row r="480" spans="1:34" ht="14.4" customHeight="1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</row>
    <row r="481" spans="1:34" ht="14.4" customHeight="1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</row>
    <row r="482" spans="1:34" ht="14.4" customHeight="1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</row>
    <row r="483" spans="1:34" ht="14.4" customHeight="1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</row>
    <row r="484" spans="1:34" ht="14.4" customHeight="1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</row>
    <row r="485" spans="1:34" ht="14.4" customHeight="1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</row>
    <row r="486" spans="1:34" ht="14.4" customHeight="1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</row>
    <row r="487" spans="1:34" ht="14.4" customHeight="1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</row>
    <row r="488" spans="1:34" ht="14.4" customHeight="1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</row>
    <row r="489" spans="1:34" ht="14.4" customHeight="1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</row>
    <row r="490" spans="1:34" ht="14.4" customHeight="1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</row>
    <row r="491" spans="1:34" ht="14.4" customHeight="1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</row>
    <row r="492" spans="1:34" ht="14.4" customHeight="1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</row>
    <row r="493" spans="1:34" ht="14.4" customHeight="1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</row>
    <row r="494" spans="1:34" ht="14.4" customHeight="1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</row>
    <row r="495" spans="1:34" ht="14.4" customHeight="1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</row>
    <row r="496" spans="1:34" ht="14.4" customHeight="1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</row>
    <row r="497" spans="1:34" ht="14.4" customHeight="1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</row>
    <row r="498" spans="1:34" ht="14.4" customHeight="1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</row>
    <row r="499" spans="1:34" ht="14.4" customHeight="1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</row>
    <row r="500" spans="1:34" ht="14.4" customHeight="1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</row>
    <row r="501" spans="1:34" ht="14.4" customHeight="1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</row>
    <row r="502" spans="1:34" ht="14.4" customHeight="1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</row>
    <row r="503" spans="1:34" ht="14.4" customHeight="1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</row>
    <row r="504" spans="1:34" ht="14.4" customHeight="1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</row>
    <row r="505" spans="1:34" ht="14.4" customHeight="1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</row>
    <row r="506" spans="1:34" ht="14.4" customHeight="1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</row>
    <row r="507" spans="1:34" ht="14.4" customHeight="1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</row>
    <row r="508" spans="1:34" ht="14.4" customHeight="1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</row>
    <row r="509" spans="1:34" ht="14.4" customHeight="1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</row>
    <row r="510" spans="1:34" ht="14.4" customHeight="1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</row>
    <row r="511" spans="1:34" ht="14.4" customHeight="1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</row>
    <row r="512" spans="1:34" ht="14.4" customHeight="1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</row>
    <row r="513" spans="1:34" ht="14.4" customHeight="1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</row>
    <row r="514" spans="1:34" ht="14.4" customHeight="1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</row>
    <row r="515" spans="1:34" ht="14.4" customHeight="1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</row>
    <row r="516" spans="1:34" ht="14.4" customHeight="1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</row>
    <row r="517" spans="1:34" ht="14.4" customHeight="1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</row>
    <row r="518" spans="1:34" ht="14.4" customHeight="1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</row>
    <row r="519" spans="1:34" ht="14.4" customHeight="1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</row>
    <row r="520" spans="1:34" ht="14.4" customHeight="1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</row>
    <row r="521" spans="1:34" ht="14.4" customHeight="1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</row>
    <row r="522" spans="1:34" ht="14.4" customHeight="1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</row>
    <row r="523" spans="1:34" ht="14.4" customHeight="1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</row>
    <row r="524" spans="1:34" ht="14.4" customHeight="1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</row>
    <row r="525" spans="1:34" ht="14.4" customHeight="1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</row>
    <row r="526" spans="1:34" ht="14.4" customHeight="1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</row>
    <row r="527" spans="1:34" ht="14.4" customHeight="1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</row>
    <row r="528" spans="1:34" ht="14.4" customHeight="1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</row>
    <row r="529" spans="1:34" ht="14.4" customHeight="1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</row>
    <row r="530" spans="1:34" ht="14.4" customHeight="1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</row>
    <row r="531" spans="1:34" ht="14.4" customHeight="1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</row>
    <row r="532" spans="1:34" ht="14.4" customHeight="1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</row>
    <row r="533" spans="1:34" ht="14.4" customHeight="1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</row>
    <row r="534" spans="1:34" ht="14.4" customHeight="1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</row>
    <row r="535" spans="1:34" ht="14.4" customHeight="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</row>
    <row r="536" spans="1:34" ht="14.4" customHeight="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</row>
    <row r="537" spans="1:34" ht="14.4" customHeight="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</row>
    <row r="538" spans="1:34" ht="14.4" customHeight="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</row>
    <row r="539" spans="1:34" ht="14.4" customHeight="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</row>
    <row r="540" spans="1:34" ht="14.4" customHeight="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</row>
    <row r="541" spans="1:34" ht="14.4" customHeight="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</row>
    <row r="542" spans="1:34" ht="14.4" customHeight="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</row>
    <row r="543" spans="1:34" ht="14.4" customHeight="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</row>
    <row r="544" spans="1:34" ht="14.4" customHeight="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</row>
    <row r="545" spans="1:34" ht="14.4" customHeight="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</row>
    <row r="546" spans="1:34" ht="14.4" customHeight="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</row>
    <row r="547" spans="1:34" ht="14.4" customHeight="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</row>
    <row r="548" spans="1:34" ht="14.4" customHeight="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</row>
    <row r="549" spans="1:34" ht="14.4" customHeight="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</row>
    <row r="550" spans="1:34" ht="14.4" customHeight="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</row>
    <row r="551" spans="1:34" ht="14.4" customHeight="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</row>
    <row r="552" spans="1:34" ht="14.4" customHeight="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</row>
    <row r="553" spans="1:34" ht="14.4" customHeight="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</row>
    <row r="554" spans="1:34" ht="14.4" customHeight="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</row>
    <row r="555" spans="1:34" ht="14.4" customHeight="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</row>
    <row r="556" spans="1:34" ht="14.4" customHeight="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</row>
    <row r="557" spans="1:34" ht="14.4" customHeight="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</row>
    <row r="558" spans="1:34" ht="14.4" customHeight="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</row>
    <row r="559" spans="1:34" ht="14.4" customHeight="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</row>
    <row r="560" spans="1:34" ht="14.4" customHeight="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</row>
    <row r="561" spans="1:34" ht="14.4" customHeight="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</row>
    <row r="562" spans="1:34" ht="14.4" customHeight="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</row>
    <row r="563" spans="1:34" ht="14.4" customHeight="1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</row>
    <row r="564" spans="1:34" ht="14.4" customHeight="1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</row>
    <row r="565" spans="1:34" ht="14.4" customHeight="1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</row>
    <row r="566" spans="1:34" ht="14.4" customHeight="1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</row>
    <row r="567" spans="1:34" ht="14.4" customHeight="1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</row>
    <row r="568" spans="1:34" ht="14.4" customHeight="1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</row>
    <row r="569" spans="1:34" ht="14.4" customHeight="1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</row>
    <row r="570" spans="1:34" ht="14.4" customHeight="1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</row>
    <row r="571" spans="1:34" ht="14.4" customHeight="1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</row>
    <row r="572" spans="1:34" ht="14.4" customHeight="1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</row>
    <row r="573" spans="1:34" ht="14.4" customHeight="1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</row>
    <row r="574" spans="1:34" ht="14.4" customHeight="1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</row>
    <row r="575" spans="1:34" ht="14.4" customHeight="1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</row>
    <row r="576" spans="1:34" ht="14.4" customHeight="1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</row>
    <row r="577" spans="1:34" ht="14.4" customHeight="1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</row>
    <row r="578" spans="1:34" ht="14.4" customHeight="1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</row>
    <row r="579" spans="1:34" ht="14.4" customHeight="1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</row>
    <row r="580" spans="1:34" ht="14.4" customHeight="1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</row>
    <row r="581" spans="1:34" ht="14.4" customHeight="1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</row>
    <row r="582" spans="1:34" ht="14.4" customHeight="1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</row>
    <row r="583" spans="1:34" ht="14.4" customHeight="1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</row>
    <row r="584" spans="1:34" ht="14.4" customHeight="1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</row>
    <row r="585" spans="1:34" ht="14.4" customHeight="1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</row>
    <row r="586" spans="1:34" ht="14.4" customHeight="1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</row>
    <row r="587" spans="1:34" ht="14.4" customHeight="1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</row>
    <row r="588" spans="1:34" ht="14.4" customHeight="1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</row>
    <row r="589" spans="1:34" ht="14.4" customHeight="1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</row>
    <row r="590" spans="1:34" ht="14.4" customHeight="1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</row>
    <row r="591" spans="1:34" ht="14.4" customHeight="1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</row>
    <row r="592" spans="1:34" ht="14.4" customHeight="1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</row>
    <row r="593" spans="1:34" ht="14.4" customHeight="1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</row>
    <row r="594" spans="1:34" ht="14.4" customHeight="1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</row>
    <row r="595" spans="1:34" ht="14.4" customHeight="1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</row>
    <row r="596" spans="1:34" ht="14.4" customHeight="1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</row>
    <row r="597" spans="1:34" ht="14.4" customHeight="1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</row>
    <row r="598" spans="1:34" ht="14.4" customHeight="1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</row>
    <row r="599" spans="1:34" ht="14.4" customHeight="1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</row>
    <row r="600" spans="1:34" ht="14.4" customHeight="1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</row>
    <row r="601" spans="1:34" ht="14.4" customHeight="1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</row>
    <row r="602" spans="1:34" ht="14.4" customHeight="1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</row>
    <row r="603" spans="1:34" ht="14.4" customHeight="1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</row>
    <row r="604" spans="1:34" ht="14.4" customHeight="1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</row>
    <row r="605" spans="1:34" ht="14.4" customHeight="1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</row>
    <row r="606" spans="1:34" ht="14.4" customHeight="1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</row>
    <row r="607" spans="1:34" ht="14.4" customHeight="1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</row>
    <row r="608" spans="1:34" ht="14.4" customHeight="1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</row>
    <row r="609" spans="1:34" ht="14.4" customHeight="1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</row>
    <row r="610" spans="1:34" ht="14.4" customHeight="1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</row>
    <row r="611" spans="1:34" ht="14.4" customHeight="1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</row>
    <row r="612" spans="1:34" ht="14.4" customHeight="1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</row>
    <row r="613" spans="1:34" ht="14.4" customHeight="1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</row>
    <row r="614" spans="1:34" ht="14.4" customHeight="1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</row>
    <row r="615" spans="1:34" ht="14.4" customHeight="1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</row>
    <row r="616" spans="1:34" ht="14.4" customHeight="1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</row>
    <row r="617" spans="1:34" ht="14.4" customHeight="1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</row>
    <row r="618" spans="1:34" ht="14.4" customHeight="1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</row>
    <row r="619" spans="1:34" ht="14.4" customHeight="1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</row>
    <row r="620" spans="1:34" ht="14.4" customHeight="1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</row>
    <row r="621" spans="1:34" ht="14.4" customHeight="1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</row>
    <row r="622" spans="1:34" ht="14.4" customHeight="1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</row>
    <row r="623" spans="1:34" ht="14.4" customHeight="1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</row>
    <row r="624" spans="1:34" ht="14.4" customHeight="1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</row>
    <row r="625" spans="1:34" ht="14.4" customHeight="1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</row>
    <row r="626" spans="1:34" ht="14.4" customHeight="1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</row>
    <row r="627" spans="1:34" ht="14.4" customHeight="1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</row>
    <row r="628" spans="1:34" ht="14.4" customHeight="1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</row>
    <row r="629" spans="1:34" ht="14.4" customHeight="1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</row>
    <row r="630" spans="1:34" ht="14.4" customHeight="1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</row>
    <row r="631" spans="1:34" ht="14.4" customHeight="1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</row>
    <row r="632" spans="1:34" ht="14.4" customHeight="1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</row>
    <row r="633" spans="1:34" ht="14.4" customHeight="1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</row>
    <row r="634" spans="1:34" ht="14.4" customHeight="1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</row>
    <row r="635" spans="1:34" ht="14.4" customHeight="1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</row>
    <row r="636" spans="1:34" ht="14.4" customHeight="1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</row>
    <row r="637" spans="1:34" ht="14.4" customHeight="1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</row>
    <row r="638" spans="1:34" ht="14.4" customHeight="1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</row>
    <row r="639" spans="1:34" ht="14.4" customHeight="1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</row>
    <row r="640" spans="1:34" ht="14.4" customHeight="1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</row>
    <row r="641" spans="1:34" ht="14.4" customHeight="1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</row>
    <row r="642" spans="1:34" ht="14.4" customHeight="1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</row>
    <row r="643" spans="1:34" ht="14.4" customHeight="1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</row>
    <row r="644" spans="1:34" ht="14.4" customHeight="1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</row>
    <row r="645" spans="1:34" ht="14.4" customHeight="1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</row>
    <row r="646" spans="1:34" ht="14.4" customHeight="1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</row>
    <row r="647" spans="1:34" ht="14.4" customHeight="1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</row>
    <row r="648" spans="1:34" ht="14.4" customHeight="1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</row>
    <row r="649" spans="1:34" ht="14.4" customHeight="1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</row>
    <row r="650" spans="1:34" ht="14.4" customHeight="1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</row>
    <row r="651" spans="1:34" ht="14.4" customHeight="1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</row>
    <row r="652" spans="1:34" ht="14.4" customHeight="1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</row>
    <row r="653" spans="1:34" ht="14.4" customHeight="1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</row>
    <row r="654" spans="1:34" ht="14.4" customHeight="1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</row>
    <row r="655" spans="1:34" ht="14.4" customHeight="1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</row>
    <row r="656" spans="1:34" ht="14.4" customHeight="1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</row>
    <row r="657" spans="1:34" ht="14.4" customHeight="1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</row>
    <row r="658" spans="1:34" ht="14.4" customHeight="1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</row>
    <row r="659" spans="1:34" ht="14.4" customHeight="1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</row>
    <row r="660" spans="1:34" ht="14.4" customHeight="1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</row>
    <row r="661" spans="1:34" ht="14.4" customHeight="1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</row>
    <row r="662" spans="1:34" ht="14.4" customHeight="1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</row>
    <row r="663" spans="1:34" ht="14.4" customHeight="1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</row>
    <row r="664" spans="1:34" ht="14.4" customHeight="1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</row>
    <row r="665" spans="1:34" ht="14.4" customHeight="1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</row>
    <row r="666" spans="1:34" ht="14.4" customHeight="1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</row>
    <row r="667" spans="1:34" ht="14.4" customHeight="1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</row>
    <row r="668" spans="1:34" ht="14.4" customHeight="1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</row>
    <row r="669" spans="1:34" ht="14.4" customHeight="1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</row>
    <row r="670" spans="1:34" ht="14.4" customHeight="1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</row>
    <row r="671" spans="1:34" ht="14.4" customHeight="1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</row>
    <row r="672" spans="1:34" ht="14.4" customHeight="1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</row>
    <row r="673" spans="1:34" ht="14.4" customHeight="1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</row>
    <row r="674" spans="1:34" ht="14.4" customHeight="1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</row>
    <row r="675" spans="1:34" ht="14.4" customHeight="1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</row>
    <row r="676" spans="1:34" ht="14.4" customHeight="1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</row>
    <row r="677" spans="1:34" ht="14.4" customHeight="1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</row>
    <row r="678" spans="1:34" ht="14.4" customHeight="1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</row>
    <row r="679" spans="1:34" ht="14.4" customHeight="1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</row>
    <row r="680" spans="1:34" ht="14.4" customHeight="1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</row>
    <row r="681" spans="1:34" ht="14.4" customHeight="1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</row>
    <row r="682" spans="1:34" ht="14.4" customHeight="1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</row>
    <row r="683" spans="1:34" ht="14.4" customHeight="1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</row>
    <row r="684" spans="1:34" ht="14.4" customHeight="1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</row>
    <row r="685" spans="1:34" ht="14.4" customHeight="1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</row>
    <row r="686" spans="1:34" ht="14.4" customHeight="1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</row>
    <row r="687" spans="1:34" ht="14.4" customHeight="1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</row>
    <row r="688" spans="1:34" ht="14.4" customHeight="1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</row>
    <row r="689" spans="1:34" ht="14.4" customHeight="1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</row>
    <row r="690" spans="1:34" ht="14.4" customHeight="1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</row>
    <row r="691" spans="1:34" ht="14.4" customHeight="1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</row>
    <row r="692" spans="1:34" ht="14.4" customHeight="1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</row>
    <row r="693" spans="1:34" ht="14.4" customHeight="1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</row>
    <row r="694" spans="1:34" ht="14.4" customHeight="1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</row>
    <row r="695" spans="1:34" ht="14.4" customHeight="1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</row>
    <row r="696" spans="1:34" ht="14.4" customHeight="1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</row>
    <row r="697" spans="1:34" ht="14.4" customHeight="1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</row>
    <row r="698" spans="1:34" ht="14.4" customHeight="1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</row>
    <row r="699" spans="1:34" ht="14.4" customHeight="1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</row>
    <row r="700" spans="1:34" ht="14.4" customHeight="1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</row>
    <row r="701" spans="1:34" ht="14.4" customHeight="1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</row>
    <row r="702" spans="1:34" ht="14.4" customHeight="1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</row>
    <row r="703" spans="1:34" ht="14.4" customHeight="1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</row>
    <row r="704" spans="1:34" ht="14.4" customHeight="1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</row>
    <row r="705" spans="1:34" ht="14.4" customHeight="1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</row>
    <row r="706" spans="1:34" ht="14.4" customHeight="1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</row>
    <row r="707" spans="1:34" ht="14.4" customHeight="1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</row>
    <row r="708" spans="1:34" ht="14.4" customHeight="1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</row>
    <row r="709" spans="1:34" ht="14.4" customHeight="1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</row>
    <row r="710" spans="1:34" ht="14.4" customHeight="1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</row>
    <row r="711" spans="1:34" ht="14.4" customHeight="1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</row>
    <row r="712" spans="1:34" ht="14.4" customHeight="1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</row>
    <row r="713" spans="1:34" ht="14.4" customHeight="1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</row>
    <row r="714" spans="1:34" ht="14.4" customHeight="1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</row>
    <row r="715" spans="1:34" ht="14.4" customHeight="1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</row>
    <row r="716" spans="1:34" ht="14.4" customHeight="1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</row>
    <row r="717" spans="1:34" ht="14.4" customHeight="1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</row>
    <row r="718" spans="1:34" ht="14.4" customHeight="1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</row>
    <row r="719" spans="1:34" ht="14.4" customHeight="1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</row>
    <row r="720" spans="1:34" ht="14.4" customHeight="1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</row>
    <row r="721" spans="1:34" ht="14.4" customHeight="1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</row>
    <row r="722" spans="1:34" ht="14.4" customHeight="1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</row>
    <row r="723" spans="1:34" ht="14.4" customHeight="1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</row>
    <row r="724" spans="1:34" ht="14.4" customHeight="1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</row>
    <row r="725" spans="1:34" ht="14.4" customHeight="1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</row>
    <row r="726" spans="1:34" ht="14.4" customHeight="1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</row>
    <row r="727" spans="1:34" ht="14.4" customHeight="1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</row>
    <row r="728" spans="1:34" ht="14.4" customHeight="1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</row>
    <row r="729" spans="1:34" ht="14.4" customHeight="1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</row>
    <row r="730" spans="1:34" ht="14.4" customHeight="1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</row>
    <row r="731" spans="1:34" ht="14.4" customHeight="1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</row>
    <row r="732" spans="1:34" ht="14.4" customHeight="1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</row>
    <row r="733" spans="1:34" ht="14.4" customHeight="1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</row>
    <row r="734" spans="1:34" ht="14.4" customHeight="1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</row>
    <row r="735" spans="1:34" ht="14.4" customHeight="1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</row>
    <row r="736" spans="1:34" ht="14.4" customHeight="1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</row>
    <row r="737" spans="1:34" ht="14.4" customHeight="1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</row>
    <row r="738" spans="1:34" ht="14.4" customHeight="1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</row>
    <row r="739" spans="1:34" ht="14.4" customHeight="1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</row>
    <row r="740" spans="1:34" ht="14.4" customHeight="1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</row>
    <row r="741" spans="1:34" ht="14.4" customHeight="1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</row>
    <row r="742" spans="1:34" ht="14.4" customHeight="1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</row>
    <row r="743" spans="1:34" ht="14.4" customHeight="1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</row>
    <row r="744" spans="1:34" ht="14.4" customHeight="1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</row>
    <row r="745" spans="1:34" ht="14.4" customHeight="1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</row>
    <row r="746" spans="1:34" ht="14.4" customHeight="1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</row>
    <row r="747" spans="1:34" ht="14.4" customHeight="1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</row>
    <row r="748" spans="1:34" ht="14.4" customHeight="1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</row>
    <row r="749" spans="1:34" ht="14.4" customHeight="1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</row>
    <row r="750" spans="1:34" ht="14.4" customHeight="1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</row>
    <row r="751" spans="1:34" ht="14.4" customHeight="1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</row>
    <row r="752" spans="1:34" ht="14.4" customHeight="1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</row>
    <row r="753" spans="1:34" ht="14.4" customHeight="1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</row>
    <row r="754" spans="1:34" ht="14.4" customHeight="1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</row>
    <row r="755" spans="1:34" ht="14.4" customHeight="1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</row>
    <row r="756" spans="1:34" ht="14.4" customHeight="1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</row>
    <row r="757" spans="1:34" ht="14.4" customHeight="1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</row>
    <row r="758" spans="1:34" ht="14.4" customHeight="1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</row>
    <row r="759" spans="1:34" ht="14.4" customHeight="1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</row>
    <row r="760" spans="1:34" ht="14.4" customHeight="1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</row>
    <row r="761" spans="1:34" ht="14.4" customHeight="1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</row>
    <row r="762" spans="1:34" ht="14.4" customHeight="1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</row>
    <row r="763" spans="1:34" ht="14.4" customHeight="1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</row>
    <row r="764" spans="1:34" ht="14.4" customHeight="1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</row>
    <row r="765" spans="1:34" ht="14.4" customHeight="1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</row>
    <row r="766" spans="1:34" ht="14.4" customHeight="1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</row>
    <row r="767" spans="1:34" ht="14.4" customHeight="1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</row>
    <row r="768" spans="1:34" ht="14.4" customHeight="1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</row>
    <row r="769" spans="1:34" ht="14.4" customHeight="1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</row>
    <row r="770" spans="1:34" ht="14.4" customHeight="1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</row>
    <row r="771" spans="1:34" ht="14.4" customHeight="1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</row>
    <row r="772" spans="1:34" ht="14.4" customHeight="1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</row>
    <row r="773" spans="1:34" ht="14.4" customHeight="1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</row>
    <row r="774" spans="1:34" ht="14.4" customHeight="1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</row>
    <row r="775" spans="1:34" ht="14.4" customHeight="1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</row>
    <row r="776" spans="1:34" ht="14.4" customHeight="1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</row>
    <row r="777" spans="1:34" ht="14.4" customHeight="1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</row>
    <row r="778" spans="1:34" ht="14.4" customHeight="1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</row>
    <row r="779" spans="1:34" ht="14.4" customHeight="1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</row>
    <row r="780" spans="1:34" ht="14.4" customHeight="1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</row>
    <row r="781" spans="1:34" ht="14.4" customHeight="1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</row>
    <row r="782" spans="1:34" ht="14.4" customHeight="1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</row>
    <row r="783" spans="1:34" ht="14.4" customHeight="1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</row>
    <row r="784" spans="1:34" ht="14.4" customHeight="1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</row>
    <row r="785" spans="1:34" ht="14.4" customHeight="1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</row>
    <row r="786" spans="1:34" ht="14.4" customHeight="1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</row>
    <row r="787" spans="1:34" ht="14.4" customHeight="1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</row>
    <row r="788" spans="1:34" ht="14.4" customHeight="1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</row>
    <row r="789" spans="1:34" ht="14.4" customHeight="1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</row>
    <row r="790" spans="1:34" ht="14.4" customHeight="1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</row>
    <row r="791" spans="1:34" ht="14.4" customHeight="1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</row>
    <row r="792" spans="1:34" ht="14.4" customHeight="1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</row>
    <row r="793" spans="1:34" ht="14.4" customHeight="1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</row>
    <row r="794" spans="1:34" ht="14.4" customHeight="1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</row>
    <row r="795" spans="1:34" ht="14.4" customHeight="1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</row>
    <row r="796" spans="1:34" ht="14.4" customHeight="1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</row>
    <row r="797" spans="1:34" ht="14.4" customHeight="1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</row>
    <row r="798" spans="1:34" ht="14.4" customHeight="1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</row>
    <row r="799" spans="1:34" ht="14.4" customHeight="1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</row>
    <row r="800" spans="1:34" ht="14.4" customHeight="1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</row>
    <row r="801" spans="1:34" ht="14.4" customHeight="1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</row>
    <row r="802" spans="1:34" ht="14.4" customHeight="1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</row>
    <row r="803" spans="1:34" ht="14.4" customHeight="1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</row>
    <row r="804" spans="1:34" ht="14.4" customHeight="1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</row>
    <row r="805" spans="1:34" ht="14.4" customHeight="1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</row>
    <row r="806" spans="1:34" ht="14.4" customHeight="1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</row>
    <row r="807" spans="1:34" ht="14.4" customHeight="1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</row>
    <row r="808" spans="1:34" ht="14.4" customHeight="1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</row>
    <row r="809" spans="1:34" ht="14.4" customHeight="1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</row>
    <row r="810" spans="1:34" ht="14.4" customHeight="1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</row>
    <row r="811" spans="1:34" ht="14.4" customHeight="1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</row>
    <row r="812" spans="1:34" ht="14.4" customHeight="1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</row>
    <row r="813" spans="1:34" ht="14.4" customHeight="1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</row>
    <row r="814" spans="1:34" ht="14.4" customHeight="1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</row>
    <row r="815" spans="1:34" ht="14.4" customHeight="1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</row>
    <row r="816" spans="1:34" ht="14.4" customHeight="1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</row>
    <row r="817" spans="1:34" ht="14.4" customHeight="1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</row>
    <row r="818" spans="1:34" ht="14.4" customHeight="1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</row>
    <row r="819" spans="1:34" ht="14.4" customHeight="1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</row>
    <row r="820" spans="1:34" ht="14.4" customHeight="1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</row>
    <row r="821" spans="1:34" ht="14.4" customHeight="1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</row>
    <row r="822" spans="1:34" ht="14.4" customHeight="1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</row>
    <row r="823" spans="1:34" ht="14.4" customHeight="1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</row>
    <row r="824" spans="1:34" ht="14.4" customHeight="1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</row>
    <row r="825" spans="1:34" ht="14.4" customHeight="1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</row>
    <row r="826" spans="1:34" ht="14.4" customHeight="1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</row>
    <row r="827" spans="1:34" ht="14.4" customHeight="1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</row>
    <row r="828" spans="1:34" ht="14.4" customHeight="1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</row>
    <row r="829" spans="1:34" ht="14.4" customHeight="1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</row>
    <row r="830" spans="1:34" ht="14.4" customHeight="1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</row>
    <row r="831" spans="1:34" ht="14.4" customHeight="1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</row>
    <row r="832" spans="1:34" ht="14.4" customHeight="1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</row>
    <row r="833" spans="1:34" ht="14.4" customHeight="1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</row>
    <row r="834" spans="1:34" ht="14.4" customHeight="1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</row>
    <row r="835" spans="1:34" ht="14.4" customHeight="1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</row>
    <row r="836" spans="1:34" ht="14.4" customHeight="1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</row>
    <row r="837" spans="1:34" ht="14.4" customHeight="1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</row>
    <row r="838" spans="1:34" ht="14.4" customHeight="1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</row>
    <row r="839" spans="1:34" ht="14.4" customHeight="1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</row>
    <row r="840" spans="1:34" ht="14.4" customHeight="1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</row>
    <row r="841" spans="1:34" ht="14.4" customHeight="1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</row>
    <row r="842" spans="1:34" ht="14.4" customHeight="1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</row>
    <row r="843" spans="1:34" ht="14.4" customHeight="1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</row>
    <row r="844" spans="1:34" ht="14.4" customHeight="1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</row>
    <row r="845" spans="1:34" ht="14.4" customHeight="1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</row>
    <row r="846" spans="1:34" ht="14.4" customHeight="1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</row>
    <row r="847" spans="1:34" ht="14.4" customHeight="1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</row>
    <row r="848" spans="1:34" ht="14.4" customHeight="1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</row>
    <row r="849" spans="1:34" ht="14.4" customHeight="1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</row>
    <row r="850" spans="1:34" ht="14.4" customHeight="1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</row>
    <row r="851" spans="1:34" ht="14.4" customHeight="1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</row>
    <row r="852" spans="1:34" ht="14.4" customHeight="1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</row>
    <row r="853" spans="1:34" ht="14.4" customHeight="1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</row>
    <row r="854" spans="1:34" ht="14.4" customHeight="1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</row>
    <row r="855" spans="1:34" ht="14.4" customHeight="1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</row>
    <row r="856" spans="1:34" ht="14.4" customHeight="1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</row>
    <row r="857" spans="1:34" ht="14.4" customHeight="1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</row>
    <row r="858" spans="1:34" ht="14.4" customHeight="1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</row>
    <row r="859" spans="1:34" ht="14.4" customHeight="1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</row>
    <row r="860" spans="1:34" ht="14.4" customHeight="1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</row>
    <row r="861" spans="1:34" ht="14.4" customHeight="1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</row>
    <row r="862" spans="1:34" ht="14.4" customHeight="1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</row>
    <row r="863" spans="1:34" ht="14.4" customHeight="1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</row>
    <row r="864" spans="1:34" ht="14.4" customHeight="1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</row>
    <row r="865" spans="1:34" ht="14.4" customHeight="1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</row>
    <row r="866" spans="1:34" ht="14.4" customHeight="1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</row>
    <row r="867" spans="1:34" ht="14.4" customHeight="1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</row>
    <row r="868" spans="1:34" ht="14.4" customHeight="1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</row>
  </sheetData>
  <mergeCells count="73">
    <mergeCell ref="L32:L33"/>
    <mergeCell ref="L34:L36"/>
    <mergeCell ref="C32:F40"/>
    <mergeCell ref="T33:X33"/>
    <mergeCell ref="T35:X35"/>
    <mergeCell ref="T37:X37"/>
    <mergeCell ref="N33:O33"/>
    <mergeCell ref="J32:K37"/>
    <mergeCell ref="H38:K38"/>
    <mergeCell ref="H39:K40"/>
    <mergeCell ref="L39:L40"/>
    <mergeCell ref="N41:O41"/>
    <mergeCell ref="T41:X41"/>
    <mergeCell ref="N42:O42"/>
    <mergeCell ref="T42:X42"/>
    <mergeCell ref="B41:B45"/>
    <mergeCell ref="B7:C7"/>
    <mergeCell ref="E7:F7"/>
    <mergeCell ref="T5:X5"/>
    <mergeCell ref="T6:X6"/>
    <mergeCell ref="T7:X7"/>
    <mergeCell ref="T8:X8"/>
    <mergeCell ref="T9:X9"/>
    <mergeCell ref="T10:X10"/>
    <mergeCell ref="T30:X30"/>
    <mergeCell ref="N30:O30"/>
    <mergeCell ref="B28:X28"/>
    <mergeCell ref="B29:X29"/>
    <mergeCell ref="T31:X31"/>
    <mergeCell ref="H31:I31"/>
    <mergeCell ref="T32:X32"/>
    <mergeCell ref="E26:F26"/>
    <mergeCell ref="B32:B40"/>
    <mergeCell ref="N34:O34"/>
    <mergeCell ref="N35:O35"/>
    <mergeCell ref="T39:X39"/>
    <mergeCell ref="N40:O40"/>
    <mergeCell ref="T40:X40"/>
    <mergeCell ref="N38:O38"/>
    <mergeCell ref="T38:X38"/>
    <mergeCell ref="N39:O39"/>
    <mergeCell ref="N36:O36"/>
    <mergeCell ref="N37:O37"/>
    <mergeCell ref="H32:I37"/>
    <mergeCell ref="B9:C9"/>
    <mergeCell ref="H44:H45"/>
    <mergeCell ref="C41:F45"/>
    <mergeCell ref="H41:H43"/>
    <mergeCell ref="E9:F9"/>
    <mergeCell ref="I41:K42"/>
    <mergeCell ref="L43:M43"/>
    <mergeCell ref="A1:X1"/>
    <mergeCell ref="B3:C3"/>
    <mergeCell ref="D3:J3"/>
    <mergeCell ref="B5:C5"/>
    <mergeCell ref="E5:F5"/>
    <mergeCell ref="L41:L42"/>
    <mergeCell ref="C31:F31"/>
    <mergeCell ref="N31:O31"/>
    <mergeCell ref="J31:L31"/>
    <mergeCell ref="N32:O32"/>
    <mergeCell ref="T36:X36"/>
    <mergeCell ref="H30:M30"/>
    <mergeCell ref="C30:G30"/>
    <mergeCell ref="T34:X34"/>
    <mergeCell ref="I43:K43"/>
    <mergeCell ref="N43:O43"/>
    <mergeCell ref="I45:K45"/>
    <mergeCell ref="N45:O45"/>
    <mergeCell ref="T45:X45"/>
    <mergeCell ref="I44:K44"/>
    <mergeCell ref="N44:O44"/>
    <mergeCell ref="T44:X44"/>
  </mergeCells>
  <phoneticPr fontId="56" type="noConversion"/>
  <conditionalFormatting sqref="Q31 Z31:Z45 Q32:T40 Q41:S46">
    <cfRule type="cellIs" dxfId="20" priority="4" operator="equal">
      <formula>"FAILED"</formula>
    </cfRule>
    <cfRule type="cellIs" dxfId="19" priority="5" operator="equal">
      <formula>"PASSED WITH CONDITION"</formula>
    </cfRule>
    <cfRule type="cellIs" dxfId="18" priority="6" operator="equal">
      <formula>"PASSED"</formula>
    </cfRule>
  </conditionalFormatting>
  <dataValidations count="1">
    <dataValidation type="list" allowBlank="1" showErrorMessage="1" sqref="Q31:Q43 R41:S43 Z31:Z45 Q44:S46" xr:uid="{4CE49F42-966A-4AAE-A884-DD94DA2BD9D8}">
      <formula1>"PASSED,PASSED WITH CONDITION,FAILED,N/A"</formula1>
    </dataValidation>
  </dataValidations>
  <pageMargins left="0.7" right="0.7" top="0.75" bottom="0.75" header="0.3" footer="0.3"/>
  <pageSetup orientation="portrait" verticalDpi="0" r:id="rId1"/>
  <ignoredErrors>
    <ignoredError sqref="G32:G33 G36:G37 G38 G39:G4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EBEF-42ED-4D21-9D29-5D8AE298217D}">
  <sheetPr codeName="Sheet4">
    <tabColor theme="4" tint="0.59999389629810485"/>
  </sheetPr>
  <dimension ref="A1:AF831"/>
  <sheetViews>
    <sheetView topLeftCell="P1" zoomScale="85" zoomScaleNormal="85" workbookViewId="0">
      <selection activeCell="D21" sqref="D21"/>
    </sheetView>
  </sheetViews>
  <sheetFormatPr defaultColWidth="14.44140625" defaultRowHeight="14.4" customHeight="1" x14ac:dyDescent="0.25"/>
  <cols>
    <col min="1" max="1" width="1.44140625" style="78" customWidth="1"/>
    <col min="2" max="2" width="4.33203125" style="78" customWidth="1"/>
    <col min="3" max="3" width="17.6640625" style="78" customWidth="1"/>
    <col min="4" max="4" width="5.33203125" style="78" customWidth="1"/>
    <col min="5" max="5" width="6.109375" style="78" customWidth="1"/>
    <col min="6" max="6" width="9.5546875" style="78" customWidth="1"/>
    <col min="7" max="7" width="5" style="78" customWidth="1"/>
    <col min="8" max="8" width="4" style="174" customWidth="1"/>
    <col min="9" max="9" width="11.88671875" style="78" customWidth="1"/>
    <col min="10" max="10" width="5.33203125" style="78" customWidth="1"/>
    <col min="11" max="11" width="11.88671875" style="78" customWidth="1"/>
    <col min="12" max="12" width="4.33203125" style="78" customWidth="1"/>
    <col min="13" max="13" width="11.88671875" style="78" customWidth="1"/>
    <col min="14" max="14" width="8.6640625" style="78" customWidth="1"/>
    <col min="15" max="15" width="40" style="78" customWidth="1"/>
    <col min="16" max="16" width="25.33203125" style="78" customWidth="1"/>
    <col min="17" max="18" width="64.44140625" style="78" customWidth="1"/>
    <col min="19" max="19" width="12.44140625" style="78" customWidth="1"/>
    <col min="20" max="20" width="6.44140625" style="78" customWidth="1"/>
    <col min="21" max="21" width="7.33203125" style="78" customWidth="1"/>
    <col min="22" max="22" width="6.44140625" style="78" customWidth="1"/>
    <col min="23" max="23" width="8.6640625" style="78" customWidth="1"/>
    <col min="24" max="24" width="120" style="78" hidden="1" customWidth="1"/>
    <col min="25" max="26" width="17.6640625" style="78" hidden="1" customWidth="1"/>
    <col min="27" max="32" width="8.6640625" style="78" customWidth="1"/>
    <col min="33" max="16384" width="14.44140625" style="78"/>
  </cols>
  <sheetData>
    <row r="1" spans="1:32" ht="60" customHeight="1" x14ac:dyDescent="0.25">
      <c r="A1" s="217" t="s">
        <v>147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77"/>
      <c r="Y1" s="77"/>
      <c r="Z1" s="77"/>
      <c r="AA1" s="77"/>
      <c r="AB1" s="77"/>
      <c r="AC1" s="77"/>
      <c r="AD1" s="77"/>
      <c r="AE1" s="77"/>
      <c r="AF1" s="77"/>
    </row>
    <row r="2" spans="1:32" ht="14.4" customHeight="1" x14ac:dyDescent="0.25">
      <c r="A2" s="79"/>
      <c r="B2" s="80"/>
      <c r="C2" s="80"/>
      <c r="D2" s="80"/>
      <c r="E2" s="80"/>
      <c r="F2" s="80"/>
      <c r="G2" s="80"/>
      <c r="H2" s="17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3"/>
      <c r="U2" s="83"/>
      <c r="V2" s="83"/>
      <c r="W2" s="81"/>
      <c r="X2" s="77"/>
      <c r="Y2" s="77"/>
      <c r="Z2" s="77"/>
      <c r="AA2" s="77"/>
      <c r="AB2" s="77"/>
      <c r="AC2" s="77"/>
      <c r="AD2" s="77"/>
      <c r="AE2" s="77"/>
      <c r="AF2" s="77"/>
    </row>
    <row r="3" spans="1:32" ht="14.4" customHeight="1" x14ac:dyDescent="0.3">
      <c r="A3" s="77"/>
      <c r="B3" s="218" t="s">
        <v>3</v>
      </c>
      <c r="C3" s="219"/>
      <c r="D3" s="411" t="s">
        <v>418</v>
      </c>
      <c r="E3" s="276"/>
      <c r="F3" s="276"/>
      <c r="G3" s="276"/>
      <c r="H3" s="276"/>
      <c r="I3" s="276"/>
      <c r="J3" s="276"/>
      <c r="K3" s="276"/>
      <c r="L3" s="85"/>
      <c r="M3" s="85"/>
      <c r="N3" s="77"/>
      <c r="O3" s="77"/>
      <c r="P3" s="91"/>
      <c r="Q3" s="91"/>
      <c r="R3" s="91"/>
      <c r="S3" s="86" t="s">
        <v>0</v>
      </c>
      <c r="T3" s="89" t="b">
        <v>0</v>
      </c>
      <c r="U3" s="90" t="s">
        <v>1</v>
      </c>
      <c r="V3" s="89" t="b">
        <v>0</v>
      </c>
      <c r="W3" s="90" t="s">
        <v>2</v>
      </c>
      <c r="X3" s="77"/>
      <c r="Y3" s="77"/>
      <c r="Z3" s="77"/>
      <c r="AA3" s="77"/>
      <c r="AB3" s="77"/>
      <c r="AC3" s="77"/>
      <c r="AD3" s="77"/>
      <c r="AE3" s="77"/>
      <c r="AF3" s="77"/>
    </row>
    <row r="4" spans="1:32" ht="14.4" customHeight="1" x14ac:dyDescent="0.25">
      <c r="A4" s="77"/>
      <c r="B4" s="85"/>
      <c r="C4" s="85"/>
      <c r="D4" s="85"/>
      <c r="E4" s="85"/>
      <c r="F4" s="85"/>
      <c r="G4" s="85"/>
      <c r="H4" s="171"/>
      <c r="I4" s="87"/>
      <c r="J4" s="87"/>
      <c r="K4" s="77"/>
      <c r="L4" s="77"/>
      <c r="M4" s="77"/>
      <c r="N4" s="77"/>
      <c r="O4" s="77"/>
      <c r="P4" s="91"/>
      <c r="Q4" s="91"/>
      <c r="R4" s="91"/>
      <c r="S4" s="91"/>
      <c r="X4" s="77"/>
      <c r="Y4" s="77"/>
      <c r="Z4" s="77"/>
      <c r="AA4" s="77"/>
      <c r="AB4" s="77"/>
      <c r="AC4" s="77"/>
      <c r="AD4" s="77"/>
      <c r="AE4" s="77"/>
      <c r="AF4" s="77"/>
    </row>
    <row r="5" spans="1:32" ht="14.4" customHeight="1" x14ac:dyDescent="0.25">
      <c r="A5" s="77"/>
      <c r="B5" s="221" t="s">
        <v>6</v>
      </c>
      <c r="C5" s="221"/>
      <c r="D5" s="89" t="b">
        <v>0</v>
      </c>
      <c r="E5" s="278" t="s">
        <v>7</v>
      </c>
      <c r="F5" s="278"/>
      <c r="G5" s="93" t="b">
        <v>1</v>
      </c>
      <c r="H5" s="222" t="s">
        <v>8</v>
      </c>
      <c r="I5" s="222"/>
      <c r="K5" s="77"/>
      <c r="L5" s="77"/>
      <c r="M5" s="77"/>
      <c r="N5" s="77"/>
      <c r="O5" s="77"/>
      <c r="P5" s="91"/>
      <c r="Q5" s="91"/>
      <c r="R5" s="86" t="s">
        <v>4</v>
      </c>
      <c r="S5" s="279"/>
      <c r="T5" s="279"/>
      <c r="U5" s="279"/>
      <c r="V5" s="279"/>
      <c r="W5" s="279"/>
      <c r="X5" s="77"/>
      <c r="Y5" s="77"/>
      <c r="Z5" s="77"/>
      <c r="AA5" s="77"/>
      <c r="AB5" s="77"/>
      <c r="AC5" s="77"/>
      <c r="AD5" s="77"/>
      <c r="AE5" s="77"/>
      <c r="AF5" s="77"/>
    </row>
    <row r="6" spans="1:32" ht="14.4" customHeight="1" x14ac:dyDescent="0.25">
      <c r="A6" s="77"/>
      <c r="B6" s="85"/>
      <c r="C6" s="85"/>
      <c r="D6" s="77"/>
      <c r="E6" s="77"/>
      <c r="F6" s="77"/>
      <c r="G6" s="77"/>
      <c r="H6" s="172"/>
      <c r="I6" s="92"/>
      <c r="J6" s="95"/>
      <c r="K6" s="77"/>
      <c r="L6" s="77"/>
      <c r="M6" s="77"/>
      <c r="N6" s="77"/>
      <c r="O6" s="77"/>
      <c r="P6" s="91"/>
      <c r="Q6" s="91"/>
      <c r="R6" s="86" t="s">
        <v>5</v>
      </c>
      <c r="S6" s="278"/>
      <c r="T6" s="278"/>
      <c r="U6" s="278"/>
      <c r="V6" s="278"/>
      <c r="W6" s="278"/>
      <c r="X6" s="77"/>
      <c r="Y6" s="77"/>
      <c r="Z6" s="77"/>
      <c r="AA6" s="77"/>
      <c r="AB6" s="77"/>
      <c r="AC6" s="77"/>
      <c r="AD6" s="77"/>
      <c r="AE6" s="77"/>
      <c r="AF6" s="77"/>
    </row>
    <row r="7" spans="1:32" ht="14.4" customHeight="1" x14ac:dyDescent="0.25">
      <c r="A7" s="77"/>
      <c r="B7" s="85" t="s">
        <v>88</v>
      </c>
      <c r="C7" s="85"/>
      <c r="D7" s="89" t="b">
        <v>1</v>
      </c>
      <c r="E7" s="278" t="s">
        <v>89</v>
      </c>
      <c r="F7" s="278"/>
      <c r="G7" s="93" t="b">
        <v>0</v>
      </c>
      <c r="H7" s="278" t="s">
        <v>90</v>
      </c>
      <c r="I7" s="278"/>
      <c r="L7" s="77"/>
      <c r="M7" s="77"/>
      <c r="N7" s="77"/>
      <c r="O7" s="77"/>
      <c r="P7" s="91"/>
      <c r="Q7" s="91"/>
      <c r="R7" s="77"/>
      <c r="S7" s="91"/>
      <c r="T7" s="111"/>
      <c r="U7" s="111"/>
      <c r="V7" s="111"/>
      <c r="W7" s="111"/>
      <c r="X7" s="77"/>
      <c r="Y7" s="77"/>
      <c r="Z7" s="77"/>
      <c r="AA7" s="77"/>
      <c r="AB7" s="77"/>
      <c r="AC7" s="77"/>
      <c r="AD7" s="77"/>
      <c r="AE7" s="77"/>
      <c r="AF7" s="77"/>
    </row>
    <row r="8" spans="1:32" ht="14.4" customHeight="1" x14ac:dyDescent="0.25">
      <c r="A8" s="77"/>
      <c r="B8" s="85"/>
      <c r="C8" s="85"/>
      <c r="D8" s="77"/>
      <c r="E8" s="77"/>
      <c r="F8" s="77"/>
      <c r="G8" s="77"/>
      <c r="H8" s="172"/>
      <c r="I8" s="92"/>
      <c r="J8" s="95"/>
      <c r="K8" s="77"/>
      <c r="L8" s="77"/>
      <c r="M8" s="77"/>
      <c r="N8" s="77"/>
      <c r="O8" s="77"/>
      <c r="P8" s="91"/>
      <c r="Q8" s="91"/>
      <c r="R8" s="86" t="s">
        <v>9</v>
      </c>
      <c r="S8" s="278"/>
      <c r="T8" s="278"/>
      <c r="U8" s="278"/>
      <c r="V8" s="278"/>
      <c r="W8" s="278"/>
      <c r="X8" s="77"/>
      <c r="Y8" s="77"/>
      <c r="Z8" s="77"/>
      <c r="AA8" s="77"/>
      <c r="AB8" s="77"/>
      <c r="AC8" s="77"/>
      <c r="AD8" s="77"/>
      <c r="AE8" s="77"/>
      <c r="AF8" s="77"/>
    </row>
    <row r="9" spans="1:32" ht="14.4" customHeight="1" x14ac:dyDescent="0.25">
      <c r="A9" s="77"/>
      <c r="B9" s="251" t="s">
        <v>148</v>
      </c>
      <c r="C9" s="251"/>
      <c r="D9" s="89" t="b">
        <v>1</v>
      </c>
      <c r="E9" s="278" t="s">
        <v>149</v>
      </c>
      <c r="F9" s="278"/>
      <c r="G9" s="77"/>
      <c r="H9" s="222"/>
      <c r="I9" s="222"/>
      <c r="J9" s="95"/>
      <c r="K9" s="77"/>
      <c r="L9" s="77"/>
      <c r="M9" s="77"/>
      <c r="N9" s="77"/>
      <c r="O9" s="77"/>
      <c r="P9" s="91"/>
      <c r="Q9" s="91"/>
      <c r="R9" s="96" t="str">
        <f>D3</f>
        <v>ATP Group</v>
      </c>
      <c r="S9" s="280"/>
      <c r="T9" s="280"/>
      <c r="U9" s="280"/>
      <c r="V9" s="280"/>
      <c r="W9" s="280"/>
      <c r="X9" s="77"/>
      <c r="Y9" s="77"/>
      <c r="Z9" s="77"/>
      <c r="AA9" s="77"/>
      <c r="AB9" s="77"/>
      <c r="AC9" s="77"/>
      <c r="AD9" s="77"/>
      <c r="AE9" s="77"/>
      <c r="AF9" s="77"/>
    </row>
    <row r="10" spans="1:32" ht="14.4" customHeight="1" x14ac:dyDescent="0.25">
      <c r="A10" s="77"/>
      <c r="B10" s="90"/>
      <c r="C10" s="90"/>
      <c r="D10" s="89" t="b">
        <v>1</v>
      </c>
      <c r="E10" s="278" t="s">
        <v>150</v>
      </c>
      <c r="F10" s="278"/>
      <c r="G10" s="77"/>
      <c r="H10" s="222"/>
      <c r="I10" s="222"/>
      <c r="J10" s="95"/>
      <c r="K10" s="77"/>
      <c r="L10" s="77"/>
      <c r="M10" s="77"/>
      <c r="N10" s="77"/>
      <c r="O10" s="77"/>
      <c r="P10" s="91"/>
      <c r="Q10" s="91"/>
      <c r="R10" s="96" t="s">
        <v>12</v>
      </c>
      <c r="S10" s="278"/>
      <c r="T10" s="278"/>
      <c r="U10" s="278"/>
      <c r="V10" s="278"/>
      <c r="W10" s="278"/>
      <c r="X10" s="77"/>
      <c r="Y10" s="77"/>
      <c r="Z10" s="77"/>
      <c r="AA10" s="77"/>
      <c r="AB10" s="77"/>
      <c r="AC10" s="77"/>
      <c r="AD10" s="77"/>
      <c r="AE10" s="77"/>
      <c r="AF10" s="77"/>
    </row>
    <row r="11" spans="1:32" ht="14.4" customHeight="1" x14ac:dyDescent="0.25">
      <c r="A11" s="77"/>
      <c r="B11" s="90"/>
      <c r="C11" s="90"/>
      <c r="D11" s="89" t="b">
        <v>1</v>
      </c>
      <c r="E11" s="278" t="s">
        <v>151</v>
      </c>
      <c r="F11" s="278"/>
      <c r="G11" s="77"/>
      <c r="H11" s="222"/>
      <c r="I11" s="222"/>
      <c r="J11" s="95"/>
      <c r="K11" s="77"/>
      <c r="L11" s="77"/>
      <c r="M11" s="77"/>
      <c r="N11" s="77"/>
      <c r="O11" s="77"/>
      <c r="P11" s="91"/>
      <c r="Q11" s="91"/>
      <c r="R11" s="91"/>
      <c r="S11" s="91"/>
      <c r="T11" s="111"/>
      <c r="U11" s="111"/>
      <c r="V11" s="111"/>
      <c r="W11" s="111"/>
      <c r="X11" s="77"/>
      <c r="Y11" s="77"/>
      <c r="Z11" s="77"/>
      <c r="AA11" s="77"/>
      <c r="AB11" s="77"/>
      <c r="AC11" s="77"/>
      <c r="AD11" s="77"/>
      <c r="AE11" s="77"/>
      <c r="AF11" s="77"/>
    </row>
    <row r="12" spans="1:32" ht="14.4" customHeight="1" x14ac:dyDescent="0.25">
      <c r="A12" s="77"/>
      <c r="B12" s="90"/>
      <c r="C12" s="90"/>
      <c r="D12" s="89" t="b">
        <v>1</v>
      </c>
      <c r="E12" s="278" t="s">
        <v>152</v>
      </c>
      <c r="F12" s="278"/>
      <c r="G12" s="77"/>
      <c r="H12" s="222"/>
      <c r="I12" s="222"/>
      <c r="J12" s="95"/>
      <c r="K12" s="77"/>
      <c r="L12" s="77"/>
      <c r="M12" s="77"/>
      <c r="N12" s="77"/>
      <c r="O12" s="77"/>
      <c r="P12" s="91"/>
      <c r="Q12" s="91"/>
      <c r="R12" s="91"/>
      <c r="S12" s="91"/>
      <c r="T12" s="111"/>
      <c r="U12" s="111"/>
      <c r="V12" s="111"/>
      <c r="W12" s="111"/>
      <c r="X12" s="77"/>
      <c r="Y12" s="77"/>
      <c r="Z12" s="77"/>
      <c r="AA12" s="77"/>
      <c r="AB12" s="77"/>
      <c r="AC12" s="77"/>
      <c r="AD12" s="77"/>
      <c r="AE12" s="77"/>
      <c r="AF12" s="77"/>
    </row>
    <row r="13" spans="1:32" ht="14.4" customHeight="1" x14ac:dyDescent="0.25">
      <c r="A13" s="77"/>
      <c r="B13" s="85"/>
      <c r="C13" s="85"/>
      <c r="D13" s="77"/>
      <c r="E13" s="77"/>
      <c r="F13" s="77"/>
      <c r="G13" s="77"/>
      <c r="H13" s="172"/>
      <c r="I13" s="92"/>
      <c r="J13" s="95"/>
      <c r="K13" s="77"/>
      <c r="L13" s="77"/>
      <c r="M13" s="77"/>
      <c r="N13" s="77"/>
      <c r="O13" s="77"/>
      <c r="P13" s="91"/>
      <c r="Q13" s="91"/>
      <c r="R13" s="91"/>
      <c r="S13" s="91"/>
      <c r="T13" s="111"/>
      <c r="U13" s="111"/>
      <c r="V13" s="111"/>
      <c r="W13" s="111"/>
      <c r="X13" s="77"/>
      <c r="Y13" s="77"/>
      <c r="Z13" s="77"/>
      <c r="AA13" s="77"/>
      <c r="AB13" s="77"/>
      <c r="AC13" s="77"/>
      <c r="AD13" s="77"/>
      <c r="AE13" s="77"/>
      <c r="AF13" s="77"/>
    </row>
    <row r="14" spans="1:32" ht="14.4" customHeight="1" x14ac:dyDescent="0.25">
      <c r="A14" s="77"/>
      <c r="B14" s="251" t="s">
        <v>10</v>
      </c>
      <c r="C14" s="251"/>
      <c r="D14" s="93" t="b">
        <v>1</v>
      </c>
      <c r="E14" s="251" t="s">
        <v>13</v>
      </c>
      <c r="F14" s="251"/>
      <c r="G14" s="90"/>
      <c r="H14" s="251"/>
      <c r="I14" s="251"/>
      <c r="J14" s="77"/>
      <c r="K14" s="77"/>
      <c r="L14" s="77"/>
      <c r="M14" s="77"/>
      <c r="N14" s="77"/>
      <c r="O14" s="77"/>
      <c r="P14" s="91"/>
      <c r="Q14" s="91"/>
      <c r="R14" s="91"/>
      <c r="S14" s="91"/>
      <c r="T14" s="80"/>
      <c r="U14" s="80"/>
      <c r="V14" s="80"/>
      <c r="W14" s="80"/>
      <c r="X14" s="77"/>
      <c r="Y14" s="77"/>
      <c r="Z14" s="77"/>
      <c r="AA14" s="77"/>
      <c r="AB14" s="77"/>
      <c r="AC14" s="77"/>
      <c r="AD14" s="77"/>
      <c r="AE14" s="77"/>
      <c r="AF14" s="77"/>
    </row>
    <row r="15" spans="1:32" ht="14.4" customHeight="1" x14ac:dyDescent="0.25">
      <c r="A15" s="77"/>
      <c r="B15" s="77"/>
      <c r="C15" s="77"/>
      <c r="D15" s="95"/>
      <c r="E15" s="95"/>
      <c r="F15" s="95"/>
      <c r="G15" s="95"/>
      <c r="H15" s="173"/>
      <c r="I15" s="90"/>
      <c r="J15" s="77"/>
      <c r="K15" s="77"/>
      <c r="L15" s="77"/>
      <c r="M15" s="77"/>
      <c r="N15" s="77"/>
      <c r="O15" s="77"/>
      <c r="P15" s="91"/>
      <c r="Q15" s="91"/>
      <c r="R15" s="91"/>
      <c r="S15" s="91"/>
      <c r="T15" s="80"/>
      <c r="U15" s="80"/>
      <c r="V15" s="80"/>
      <c r="W15" s="80"/>
      <c r="X15" s="77"/>
      <c r="Y15" s="77"/>
      <c r="Z15" s="77"/>
      <c r="AA15" s="77"/>
      <c r="AB15" s="77"/>
      <c r="AC15" s="77"/>
      <c r="AD15" s="77"/>
      <c r="AE15" s="77"/>
      <c r="AF15" s="77"/>
    </row>
    <row r="16" spans="1:32" ht="14.4" customHeight="1" x14ac:dyDescent="0.25">
      <c r="A16" s="77"/>
      <c r="B16" s="77"/>
      <c r="C16" s="77"/>
      <c r="D16" s="77"/>
      <c r="E16" s="93" t="b">
        <v>1</v>
      </c>
      <c r="F16" s="90" t="s">
        <v>14</v>
      </c>
      <c r="G16" s="77"/>
      <c r="J16" s="95"/>
      <c r="K16" s="91"/>
      <c r="L16" s="77"/>
      <c r="M16" s="77"/>
      <c r="N16" s="77"/>
      <c r="O16" s="77"/>
      <c r="P16" s="91"/>
      <c r="Q16" s="91"/>
      <c r="R16" s="91"/>
      <c r="S16" s="91"/>
      <c r="T16" s="80"/>
      <c r="U16" s="80"/>
      <c r="V16" s="80"/>
      <c r="W16" s="80"/>
      <c r="X16" s="77"/>
      <c r="Y16" s="77"/>
      <c r="Z16" s="77"/>
      <c r="AA16" s="77"/>
      <c r="AB16" s="77"/>
      <c r="AC16" s="77"/>
      <c r="AD16" s="77"/>
      <c r="AE16" s="77"/>
      <c r="AF16" s="77"/>
    </row>
    <row r="17" spans="1:32" ht="14.4" customHeight="1" x14ac:dyDescent="0.25">
      <c r="A17" s="77"/>
      <c r="B17" s="77"/>
      <c r="C17" s="77"/>
      <c r="D17" s="77"/>
      <c r="E17" s="93" t="b">
        <v>1</v>
      </c>
      <c r="F17" s="91" t="s">
        <v>15</v>
      </c>
      <c r="G17" s="93" t="b">
        <v>1</v>
      </c>
      <c r="H17" s="278" t="s">
        <v>16</v>
      </c>
      <c r="I17" s="278"/>
      <c r="L17" s="77"/>
      <c r="M17" s="77"/>
      <c r="N17" s="77"/>
      <c r="O17" s="77"/>
      <c r="P17" s="91"/>
      <c r="Q17" s="91"/>
      <c r="R17" s="91"/>
      <c r="S17" s="91"/>
      <c r="T17" s="80"/>
      <c r="U17" s="80"/>
      <c r="V17" s="80"/>
      <c r="W17" s="80"/>
      <c r="X17" s="77"/>
      <c r="Y17" s="77"/>
      <c r="Z17" s="77"/>
      <c r="AA17" s="77"/>
      <c r="AB17" s="77"/>
      <c r="AC17" s="77"/>
      <c r="AD17" s="77"/>
      <c r="AE17" s="77"/>
      <c r="AF17" s="77"/>
    </row>
    <row r="18" spans="1:32" ht="14.4" customHeight="1" x14ac:dyDescent="0.25">
      <c r="A18" s="77"/>
      <c r="B18" s="77"/>
      <c r="C18" s="77"/>
      <c r="D18" s="77"/>
      <c r="E18" s="77"/>
      <c r="F18" s="77"/>
      <c r="G18" s="77"/>
      <c r="H18" s="175"/>
      <c r="I18" s="91"/>
      <c r="J18" s="95"/>
      <c r="K18" s="77"/>
      <c r="L18" s="77"/>
      <c r="M18" s="77"/>
      <c r="N18" s="77"/>
      <c r="O18" s="77"/>
      <c r="P18" s="91"/>
      <c r="Q18" s="91"/>
      <c r="R18" s="91"/>
      <c r="S18" s="91"/>
      <c r="T18" s="77"/>
      <c r="U18" s="77"/>
      <c r="V18" s="77"/>
      <c r="W18" s="97"/>
      <c r="X18" s="77"/>
      <c r="Y18" s="77"/>
      <c r="Z18" s="77"/>
      <c r="AA18" s="77"/>
      <c r="AB18" s="77"/>
      <c r="AC18" s="77"/>
      <c r="AD18" s="77"/>
      <c r="AE18" s="77"/>
      <c r="AF18" s="77"/>
    </row>
    <row r="19" spans="1:32" ht="14.4" customHeight="1" x14ac:dyDescent="0.25">
      <c r="A19" s="77"/>
      <c r="B19" s="77"/>
      <c r="C19" s="77"/>
      <c r="D19" s="93" t="b">
        <v>1</v>
      </c>
      <c r="E19" s="85" t="s">
        <v>22</v>
      </c>
      <c r="F19" s="85"/>
      <c r="G19" s="95"/>
      <c r="J19" s="77"/>
      <c r="K19" s="77"/>
      <c r="L19" s="77"/>
      <c r="M19" s="77"/>
      <c r="N19" s="77"/>
      <c r="O19" s="77"/>
      <c r="P19" s="91"/>
      <c r="Q19" s="91"/>
      <c r="R19" s="91"/>
      <c r="S19" s="91"/>
      <c r="T19" s="77"/>
      <c r="U19" s="77"/>
      <c r="V19" s="77"/>
      <c r="W19" s="97"/>
      <c r="X19" s="77"/>
      <c r="Y19" s="77"/>
      <c r="Z19" s="77"/>
      <c r="AA19" s="77"/>
      <c r="AB19" s="77"/>
      <c r="AC19" s="77"/>
      <c r="AD19" s="77"/>
      <c r="AE19" s="77"/>
      <c r="AF19" s="77"/>
    </row>
    <row r="20" spans="1:32" ht="14.4" customHeight="1" x14ac:dyDescent="0.25">
      <c r="A20" s="77"/>
      <c r="B20" s="77"/>
      <c r="C20" s="77"/>
      <c r="D20" s="77"/>
      <c r="E20" s="77"/>
      <c r="F20" s="77"/>
      <c r="G20" s="77"/>
      <c r="H20" s="175"/>
      <c r="I20" s="91"/>
      <c r="J20" s="95"/>
      <c r="K20" s="91"/>
      <c r="L20" s="77"/>
      <c r="M20" s="77"/>
      <c r="N20" s="77"/>
      <c r="O20" s="77"/>
      <c r="P20" s="91"/>
      <c r="Q20" s="91"/>
      <c r="R20" s="91"/>
      <c r="S20" s="91"/>
      <c r="T20" s="77"/>
      <c r="U20" s="77"/>
      <c r="V20" s="77"/>
      <c r="W20" s="97"/>
      <c r="X20" s="77"/>
      <c r="Y20" s="77"/>
      <c r="Z20" s="77"/>
      <c r="AA20" s="77"/>
      <c r="AB20" s="77"/>
      <c r="AC20" s="77"/>
      <c r="AD20" s="77"/>
      <c r="AE20" s="77"/>
      <c r="AF20" s="77"/>
    </row>
    <row r="21" spans="1:32" ht="14.4" customHeight="1" x14ac:dyDescent="0.25">
      <c r="A21" s="77"/>
      <c r="B21" s="77"/>
      <c r="C21" s="77"/>
      <c r="D21" s="93" t="b">
        <v>1</v>
      </c>
      <c r="E21" s="85" t="s">
        <v>23</v>
      </c>
      <c r="F21" s="85"/>
      <c r="G21" s="95"/>
      <c r="J21" s="77"/>
      <c r="K21" s="77"/>
      <c r="L21" s="95"/>
      <c r="M21" s="91"/>
      <c r="N21" s="91"/>
      <c r="O21" s="91"/>
      <c r="P21" s="91"/>
      <c r="Q21" s="91"/>
      <c r="R21" s="91"/>
      <c r="S21" s="91"/>
      <c r="T21" s="77"/>
      <c r="U21" s="77"/>
      <c r="V21" s="77"/>
      <c r="W21" s="97"/>
      <c r="X21" s="77"/>
      <c r="Y21" s="77"/>
      <c r="Z21" s="77"/>
      <c r="AA21" s="77"/>
      <c r="AB21" s="77"/>
      <c r="AC21" s="77"/>
      <c r="AD21" s="77"/>
      <c r="AE21" s="77"/>
      <c r="AF21" s="77"/>
    </row>
    <row r="22" spans="1:32" ht="14.4" customHeight="1" x14ac:dyDescent="0.25">
      <c r="A22" s="77"/>
      <c r="B22" s="77"/>
      <c r="C22" s="77"/>
      <c r="D22" s="77"/>
      <c r="E22" s="77"/>
      <c r="F22" s="77"/>
      <c r="G22" s="77"/>
      <c r="H22" s="176"/>
      <c r="I22" s="77"/>
      <c r="J22" s="90"/>
      <c r="K22" s="91"/>
      <c r="L22" s="91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97"/>
      <c r="X22" s="77"/>
      <c r="Y22" s="77"/>
      <c r="Z22" s="77"/>
      <c r="AA22" s="77"/>
      <c r="AB22" s="77"/>
      <c r="AC22" s="77"/>
      <c r="AD22" s="77"/>
      <c r="AE22" s="77"/>
      <c r="AF22" s="77"/>
    </row>
    <row r="23" spans="1:32" ht="14.4" customHeight="1" x14ac:dyDescent="0.25">
      <c r="A23" s="77"/>
      <c r="B23" s="264" t="s">
        <v>25</v>
      </c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77"/>
      <c r="Y23" s="77"/>
      <c r="Z23" s="77"/>
      <c r="AA23" s="77"/>
      <c r="AB23" s="77"/>
      <c r="AC23" s="77"/>
      <c r="AD23" s="77"/>
      <c r="AE23" s="77"/>
      <c r="AF23" s="77"/>
    </row>
    <row r="24" spans="1:32" ht="36" customHeight="1" x14ac:dyDescent="0.25">
      <c r="A24" s="77"/>
      <c r="B24" s="265" t="s">
        <v>153</v>
      </c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77"/>
      <c r="Y24" s="77"/>
      <c r="Z24" s="77"/>
      <c r="AA24" s="77"/>
      <c r="AB24" s="77"/>
      <c r="AC24" s="77"/>
      <c r="AD24" s="77"/>
      <c r="AE24" s="77"/>
      <c r="AF24" s="77"/>
    </row>
    <row r="25" spans="1:32" ht="42.6" customHeight="1" x14ac:dyDescent="0.25">
      <c r="A25" s="124"/>
      <c r="B25" s="130" t="s">
        <v>27</v>
      </c>
      <c r="C25" s="281" t="s">
        <v>10</v>
      </c>
      <c r="D25" s="282"/>
      <c r="E25" s="282"/>
      <c r="F25" s="282"/>
      <c r="G25" s="282"/>
      <c r="H25" s="283"/>
      <c r="I25" s="281" t="s">
        <v>28</v>
      </c>
      <c r="J25" s="282"/>
      <c r="K25" s="282"/>
      <c r="L25" s="283"/>
      <c r="M25" s="322" t="s">
        <v>29</v>
      </c>
      <c r="N25" s="322"/>
      <c r="O25" s="140" t="s">
        <v>154</v>
      </c>
      <c r="P25" s="138" t="s">
        <v>155</v>
      </c>
      <c r="Q25" s="138" t="s">
        <v>156</v>
      </c>
      <c r="R25" s="139" t="s">
        <v>157</v>
      </c>
      <c r="S25" s="277" t="s">
        <v>158</v>
      </c>
      <c r="T25" s="277"/>
      <c r="U25" s="277"/>
      <c r="V25" s="277"/>
      <c r="W25" s="277"/>
      <c r="X25" s="164" t="s">
        <v>99</v>
      </c>
      <c r="Y25" s="164" t="s">
        <v>100</v>
      </c>
      <c r="Z25" s="164" t="s">
        <v>101</v>
      </c>
      <c r="AA25" s="131"/>
      <c r="AB25" s="131"/>
      <c r="AC25" s="131"/>
      <c r="AD25" s="131"/>
      <c r="AE25" s="131"/>
      <c r="AF25" s="77"/>
    </row>
    <row r="26" spans="1:32" ht="408.6" customHeight="1" x14ac:dyDescent="0.25">
      <c r="A26" s="124"/>
      <c r="B26" s="135">
        <v>0</v>
      </c>
      <c r="C26" s="295" t="s">
        <v>102</v>
      </c>
      <c r="D26" s="296"/>
      <c r="E26" s="296"/>
      <c r="F26" s="296"/>
      <c r="G26" s="297"/>
      <c r="H26" s="169" t="s">
        <v>34</v>
      </c>
      <c r="I26" s="316" t="s">
        <v>159</v>
      </c>
      <c r="J26" s="317"/>
      <c r="K26" s="317"/>
      <c r="L26" s="318"/>
      <c r="M26" s="319" t="s">
        <v>160</v>
      </c>
      <c r="N26" s="320"/>
      <c r="O26" s="143" t="s">
        <v>85</v>
      </c>
      <c r="P26" s="114" t="s">
        <v>37</v>
      </c>
      <c r="Q26" s="137" t="s">
        <v>161</v>
      </c>
      <c r="R26" s="137" t="s">
        <v>162</v>
      </c>
      <c r="S26" s="321"/>
      <c r="T26" s="321"/>
      <c r="U26" s="321"/>
      <c r="V26" s="321"/>
      <c r="W26" s="321"/>
      <c r="X26" s="184"/>
      <c r="Y26" s="184"/>
      <c r="Z26" s="184"/>
      <c r="AA26" s="131"/>
      <c r="AB26" s="131"/>
      <c r="AC26" s="131"/>
      <c r="AD26" s="131"/>
      <c r="AE26" s="131"/>
      <c r="AF26" s="77"/>
    </row>
    <row r="27" spans="1:32" ht="14.4" customHeight="1" x14ac:dyDescent="0.25">
      <c r="A27" s="120"/>
      <c r="B27" s="257">
        <v>1</v>
      </c>
      <c r="C27" s="268" t="s">
        <v>163</v>
      </c>
      <c r="D27" s="243" t="s">
        <v>164</v>
      </c>
      <c r="E27" s="244"/>
      <c r="F27" s="244"/>
      <c r="G27" s="245"/>
      <c r="H27" s="179" t="s">
        <v>38</v>
      </c>
      <c r="I27" s="310" t="s">
        <v>165</v>
      </c>
      <c r="J27" s="311"/>
      <c r="K27" s="311"/>
      <c r="L27" s="312"/>
      <c r="M27" s="285" t="s">
        <v>160</v>
      </c>
      <c r="N27" s="286"/>
      <c r="O27" s="99"/>
      <c r="P27" s="100"/>
      <c r="Q27" s="132"/>
      <c r="R27" s="132"/>
      <c r="S27" s="307"/>
      <c r="T27" s="308"/>
      <c r="U27" s="308"/>
      <c r="V27" s="308"/>
      <c r="W27" s="309"/>
      <c r="X27" s="183"/>
      <c r="Y27" s="183"/>
      <c r="Z27" s="183"/>
      <c r="AA27" s="120"/>
      <c r="AB27" s="120"/>
      <c r="AC27" s="120"/>
      <c r="AD27" s="120"/>
      <c r="AE27" s="120"/>
      <c r="AF27" s="77"/>
    </row>
    <row r="28" spans="1:32" ht="14.4" customHeight="1" x14ac:dyDescent="0.25">
      <c r="A28" s="120"/>
      <c r="B28" s="258"/>
      <c r="C28" s="270"/>
      <c r="D28" s="246"/>
      <c r="E28" s="247"/>
      <c r="F28" s="247"/>
      <c r="G28" s="248"/>
      <c r="H28" s="180" t="s">
        <v>40</v>
      </c>
      <c r="I28" s="310" t="s">
        <v>166</v>
      </c>
      <c r="J28" s="311"/>
      <c r="K28" s="311"/>
      <c r="L28" s="312"/>
      <c r="M28" s="285" t="s">
        <v>160</v>
      </c>
      <c r="N28" s="286"/>
      <c r="O28" s="99"/>
      <c r="P28" s="100"/>
      <c r="Q28" s="132"/>
      <c r="R28" s="132"/>
      <c r="S28" s="307"/>
      <c r="T28" s="308"/>
      <c r="U28" s="308"/>
      <c r="V28" s="308"/>
      <c r="W28" s="309"/>
      <c r="X28" s="183"/>
      <c r="Y28" s="183"/>
      <c r="Z28" s="183"/>
      <c r="AA28" s="120"/>
      <c r="AB28" s="120"/>
      <c r="AC28" s="120"/>
      <c r="AD28" s="120"/>
      <c r="AE28" s="120"/>
      <c r="AF28" s="77"/>
    </row>
    <row r="29" spans="1:32" ht="14.4" customHeight="1" x14ac:dyDescent="0.25">
      <c r="A29" s="120"/>
      <c r="B29" s="258"/>
      <c r="C29" s="270"/>
      <c r="D29" s="246"/>
      <c r="E29" s="247"/>
      <c r="F29" s="247"/>
      <c r="G29" s="248"/>
      <c r="H29" s="160">
        <v>1.3</v>
      </c>
      <c r="I29" s="310" t="s">
        <v>167</v>
      </c>
      <c r="J29" s="311"/>
      <c r="K29" s="311"/>
      <c r="L29" s="312"/>
      <c r="M29" s="323" t="s">
        <v>168</v>
      </c>
      <c r="N29" s="324"/>
      <c r="O29" s="99"/>
      <c r="P29" s="100"/>
      <c r="Q29" s="132"/>
      <c r="R29" s="132"/>
      <c r="S29" s="307"/>
      <c r="T29" s="308"/>
      <c r="U29" s="308"/>
      <c r="V29" s="308"/>
      <c r="W29" s="309"/>
      <c r="X29" s="183"/>
      <c r="Y29" s="183"/>
      <c r="Z29" s="183"/>
      <c r="AA29" s="127"/>
      <c r="AB29" s="127"/>
      <c r="AC29" s="127"/>
      <c r="AD29" s="127"/>
      <c r="AE29" s="127"/>
      <c r="AF29" s="77"/>
    </row>
    <row r="30" spans="1:32" ht="14.4" customHeight="1" x14ac:dyDescent="0.25">
      <c r="A30" s="120"/>
      <c r="B30" s="258"/>
      <c r="C30" s="270"/>
      <c r="D30" s="313"/>
      <c r="E30" s="314"/>
      <c r="F30" s="314"/>
      <c r="G30" s="315"/>
      <c r="H30" s="181" t="s">
        <v>44</v>
      </c>
      <c r="I30" s="310" t="s">
        <v>169</v>
      </c>
      <c r="J30" s="311"/>
      <c r="K30" s="311"/>
      <c r="L30" s="312"/>
      <c r="M30" s="285" t="s">
        <v>160</v>
      </c>
      <c r="N30" s="286"/>
      <c r="O30" s="99"/>
      <c r="P30" s="100"/>
      <c r="Q30" s="132"/>
      <c r="R30" s="132"/>
      <c r="S30" s="307"/>
      <c r="T30" s="308"/>
      <c r="U30" s="308"/>
      <c r="V30" s="308"/>
      <c r="W30" s="309"/>
      <c r="X30" s="183"/>
      <c r="Y30" s="183"/>
      <c r="Z30" s="183"/>
      <c r="AA30" s="120"/>
      <c r="AB30" s="120"/>
      <c r="AC30" s="120"/>
      <c r="AD30" s="120"/>
      <c r="AE30" s="120"/>
      <c r="AF30" s="77"/>
    </row>
    <row r="31" spans="1:32" ht="14.4" customHeight="1" x14ac:dyDescent="0.25">
      <c r="A31" s="120"/>
      <c r="B31" s="258"/>
      <c r="C31" s="270"/>
      <c r="D31" s="243" t="s">
        <v>170</v>
      </c>
      <c r="E31" s="244"/>
      <c r="F31" s="244"/>
      <c r="G31" s="245"/>
      <c r="H31" s="179" t="s">
        <v>46</v>
      </c>
      <c r="I31" s="310" t="s">
        <v>171</v>
      </c>
      <c r="J31" s="311"/>
      <c r="K31" s="311"/>
      <c r="L31" s="312"/>
      <c r="M31" s="285" t="s">
        <v>160</v>
      </c>
      <c r="N31" s="286"/>
      <c r="O31" s="99"/>
      <c r="P31" s="100"/>
      <c r="Q31" s="132"/>
      <c r="R31" s="132"/>
      <c r="S31" s="307"/>
      <c r="T31" s="308"/>
      <c r="U31" s="308"/>
      <c r="V31" s="308"/>
      <c r="W31" s="309"/>
      <c r="X31" s="183"/>
      <c r="Y31" s="183"/>
      <c r="Z31" s="183"/>
      <c r="AA31" s="120"/>
      <c r="AB31" s="120"/>
      <c r="AC31" s="120"/>
      <c r="AD31" s="120"/>
      <c r="AE31" s="120"/>
      <c r="AF31" s="77"/>
    </row>
    <row r="32" spans="1:32" ht="14.4" customHeight="1" x14ac:dyDescent="0.25">
      <c r="A32" s="120"/>
      <c r="B32" s="258"/>
      <c r="C32" s="270"/>
      <c r="D32" s="246"/>
      <c r="E32" s="247"/>
      <c r="F32" s="247"/>
      <c r="G32" s="248"/>
      <c r="H32" s="180" t="s">
        <v>48</v>
      </c>
      <c r="I32" s="310" t="s">
        <v>172</v>
      </c>
      <c r="J32" s="311"/>
      <c r="K32" s="311"/>
      <c r="L32" s="312"/>
      <c r="M32" s="285" t="s">
        <v>160</v>
      </c>
      <c r="N32" s="286"/>
      <c r="O32" s="99"/>
      <c r="P32" s="100"/>
      <c r="Q32" s="132"/>
      <c r="R32" s="132"/>
      <c r="S32" s="307"/>
      <c r="T32" s="308"/>
      <c r="U32" s="308"/>
      <c r="V32" s="308"/>
      <c r="W32" s="309"/>
      <c r="X32" s="183"/>
      <c r="Y32" s="183"/>
      <c r="Z32" s="183"/>
      <c r="AA32" s="120"/>
      <c r="AB32" s="120"/>
      <c r="AC32" s="120"/>
      <c r="AD32" s="120"/>
      <c r="AE32" s="120"/>
      <c r="AF32" s="77"/>
    </row>
    <row r="33" spans="1:32" ht="14.4" customHeight="1" x14ac:dyDescent="0.25">
      <c r="A33" s="128"/>
      <c r="B33" s="258"/>
      <c r="C33" s="270"/>
      <c r="D33" s="246"/>
      <c r="E33" s="247"/>
      <c r="F33" s="247"/>
      <c r="G33" s="248"/>
      <c r="H33" s="182">
        <v>1.7</v>
      </c>
      <c r="I33" s="290" t="s">
        <v>173</v>
      </c>
      <c r="J33" s="291"/>
      <c r="K33" s="291"/>
      <c r="L33" s="292"/>
      <c r="M33" s="293" t="s">
        <v>168</v>
      </c>
      <c r="N33" s="294"/>
      <c r="O33" s="122"/>
      <c r="P33" s="100"/>
      <c r="Q33" s="132"/>
      <c r="R33" s="132"/>
      <c r="S33" s="307"/>
      <c r="T33" s="308"/>
      <c r="U33" s="308"/>
      <c r="V33" s="308"/>
      <c r="W33" s="309"/>
      <c r="X33" s="183"/>
      <c r="Y33" s="183"/>
      <c r="Z33" s="183"/>
      <c r="AA33" s="127"/>
      <c r="AB33" s="127"/>
      <c r="AC33" s="127"/>
      <c r="AD33" s="127"/>
      <c r="AE33" s="127"/>
      <c r="AF33" s="77"/>
    </row>
    <row r="34" spans="1:32" ht="14.4" customHeight="1" x14ac:dyDescent="0.25">
      <c r="A34" s="120"/>
      <c r="B34" s="287"/>
      <c r="C34" s="269"/>
      <c r="D34" s="313"/>
      <c r="E34" s="314"/>
      <c r="F34" s="314"/>
      <c r="G34" s="315"/>
      <c r="H34" s="181" t="s">
        <v>50</v>
      </c>
      <c r="I34" s="310" t="s">
        <v>174</v>
      </c>
      <c r="J34" s="311"/>
      <c r="K34" s="311"/>
      <c r="L34" s="312"/>
      <c r="M34" s="285" t="s">
        <v>160</v>
      </c>
      <c r="N34" s="286"/>
      <c r="O34" s="99"/>
      <c r="P34" s="100"/>
      <c r="Q34" s="132"/>
      <c r="R34" s="132"/>
      <c r="S34" s="307"/>
      <c r="T34" s="308"/>
      <c r="U34" s="308"/>
      <c r="V34" s="308"/>
      <c r="W34" s="309"/>
      <c r="X34" s="183"/>
      <c r="Y34" s="183"/>
      <c r="Z34" s="183"/>
      <c r="AA34" s="120"/>
      <c r="AB34" s="120"/>
      <c r="AC34" s="120"/>
      <c r="AD34" s="120"/>
      <c r="AE34" s="120"/>
      <c r="AF34" s="77"/>
    </row>
    <row r="35" spans="1:32" ht="14.4" customHeight="1" x14ac:dyDescent="0.25">
      <c r="A35" s="120"/>
      <c r="B35" s="267">
        <v>2</v>
      </c>
      <c r="C35" s="268" t="s">
        <v>175</v>
      </c>
      <c r="D35" s="243" t="s">
        <v>164</v>
      </c>
      <c r="E35" s="244"/>
      <c r="F35" s="244"/>
      <c r="G35" s="245"/>
      <c r="H35" s="179" t="s">
        <v>51</v>
      </c>
      <c r="I35" s="304" t="s">
        <v>165</v>
      </c>
      <c r="J35" s="304"/>
      <c r="K35" s="304"/>
      <c r="L35" s="304"/>
      <c r="M35" s="289" t="s">
        <v>160</v>
      </c>
      <c r="N35" s="289"/>
      <c r="O35" s="99"/>
      <c r="P35" s="100"/>
      <c r="Q35" s="100"/>
      <c r="R35" s="132"/>
      <c r="S35" s="307"/>
      <c r="T35" s="308"/>
      <c r="U35" s="308"/>
      <c r="V35" s="308"/>
      <c r="W35" s="309"/>
      <c r="X35" s="183"/>
      <c r="Y35" s="183"/>
      <c r="Z35" s="183"/>
      <c r="AA35" s="120"/>
      <c r="AB35" s="120"/>
      <c r="AC35" s="120"/>
      <c r="AD35" s="120"/>
      <c r="AE35" s="120"/>
      <c r="AF35" s="77"/>
    </row>
    <row r="36" spans="1:32" ht="14.4" customHeight="1" x14ac:dyDescent="0.25">
      <c r="A36" s="120"/>
      <c r="B36" s="267"/>
      <c r="C36" s="270"/>
      <c r="D36" s="246"/>
      <c r="E36" s="247"/>
      <c r="F36" s="247"/>
      <c r="G36" s="248"/>
      <c r="H36" s="180" t="s">
        <v>52</v>
      </c>
      <c r="I36" s="304" t="s">
        <v>176</v>
      </c>
      <c r="J36" s="304"/>
      <c r="K36" s="304"/>
      <c r="L36" s="304"/>
      <c r="M36" s="289" t="s">
        <v>160</v>
      </c>
      <c r="N36" s="289"/>
      <c r="O36" s="99"/>
      <c r="P36" s="100"/>
      <c r="Q36" s="100"/>
      <c r="R36" s="132"/>
      <c r="S36" s="307"/>
      <c r="T36" s="308"/>
      <c r="U36" s="308"/>
      <c r="V36" s="308"/>
      <c r="W36" s="309"/>
      <c r="X36" s="183"/>
      <c r="Y36" s="183"/>
      <c r="Z36" s="183"/>
      <c r="AA36" s="120"/>
      <c r="AB36" s="120"/>
      <c r="AC36" s="120"/>
      <c r="AD36" s="120"/>
      <c r="AE36" s="120"/>
      <c r="AF36" s="77"/>
    </row>
    <row r="37" spans="1:32" ht="14.4" customHeight="1" x14ac:dyDescent="0.25">
      <c r="A37" s="120"/>
      <c r="B37" s="267"/>
      <c r="C37" s="270"/>
      <c r="D37" s="246"/>
      <c r="E37" s="247"/>
      <c r="F37" s="247"/>
      <c r="G37" s="248"/>
      <c r="H37" s="160">
        <v>2.2999999999999998</v>
      </c>
      <c r="I37" s="305" t="s">
        <v>177</v>
      </c>
      <c r="J37" s="305"/>
      <c r="K37" s="305"/>
      <c r="L37" s="305"/>
      <c r="M37" s="306" t="s">
        <v>168</v>
      </c>
      <c r="N37" s="306"/>
      <c r="O37" s="99"/>
      <c r="P37" s="100"/>
      <c r="Q37" s="100"/>
      <c r="R37" s="132"/>
      <c r="S37" s="307"/>
      <c r="T37" s="308"/>
      <c r="U37" s="308"/>
      <c r="V37" s="308"/>
      <c r="W37" s="309"/>
      <c r="X37" s="183"/>
      <c r="Y37" s="183"/>
      <c r="Z37" s="183"/>
      <c r="AA37" s="120"/>
      <c r="AB37" s="120"/>
      <c r="AC37" s="120"/>
      <c r="AD37" s="120"/>
      <c r="AE37" s="120"/>
      <c r="AF37" s="77"/>
    </row>
    <row r="38" spans="1:32" ht="14.4" customHeight="1" x14ac:dyDescent="0.25">
      <c r="A38" s="120"/>
      <c r="B38" s="267"/>
      <c r="C38" s="270"/>
      <c r="D38" s="246"/>
      <c r="E38" s="247"/>
      <c r="F38" s="247"/>
      <c r="G38" s="248"/>
      <c r="H38" s="160">
        <v>2.4</v>
      </c>
      <c r="I38" s="305" t="s">
        <v>178</v>
      </c>
      <c r="J38" s="305"/>
      <c r="K38" s="305"/>
      <c r="L38" s="305"/>
      <c r="M38" s="289" t="s">
        <v>160</v>
      </c>
      <c r="N38" s="289"/>
      <c r="O38" s="99"/>
      <c r="P38" s="100"/>
      <c r="Q38" s="100"/>
      <c r="R38" s="132"/>
      <c r="S38" s="307"/>
      <c r="T38" s="308"/>
      <c r="U38" s="308"/>
      <c r="V38" s="308"/>
      <c r="W38" s="309"/>
      <c r="X38" s="183"/>
      <c r="Y38" s="183"/>
      <c r="Z38" s="183"/>
      <c r="AA38" s="120"/>
      <c r="AB38" s="120"/>
      <c r="AC38" s="120"/>
      <c r="AD38" s="120"/>
      <c r="AE38" s="120"/>
      <c r="AF38" s="77"/>
    </row>
    <row r="39" spans="1:32" ht="14.4" customHeight="1" x14ac:dyDescent="0.25">
      <c r="A39" s="120"/>
      <c r="B39" s="267"/>
      <c r="C39" s="270"/>
      <c r="D39" s="246"/>
      <c r="E39" s="247"/>
      <c r="F39" s="247"/>
      <c r="G39" s="248"/>
      <c r="H39" s="178" t="s">
        <v>54</v>
      </c>
      <c r="I39" s="305" t="s">
        <v>179</v>
      </c>
      <c r="J39" s="305"/>
      <c r="K39" s="305"/>
      <c r="L39" s="305"/>
      <c r="M39" s="289" t="s">
        <v>160</v>
      </c>
      <c r="N39" s="289"/>
      <c r="O39" s="99"/>
      <c r="P39" s="100"/>
      <c r="Q39" s="100"/>
      <c r="R39" s="132"/>
      <c r="S39" s="307"/>
      <c r="T39" s="308"/>
      <c r="U39" s="308"/>
      <c r="V39" s="308"/>
      <c r="W39" s="309"/>
      <c r="X39" s="183"/>
      <c r="Y39" s="183"/>
      <c r="Z39" s="183"/>
      <c r="AA39" s="120"/>
      <c r="AB39" s="120"/>
      <c r="AC39" s="120"/>
      <c r="AD39" s="120"/>
      <c r="AE39" s="120"/>
      <c r="AF39" s="77"/>
    </row>
    <row r="40" spans="1:32" ht="14.4" customHeight="1" x14ac:dyDescent="0.25">
      <c r="A40" s="120"/>
      <c r="B40" s="267"/>
      <c r="C40" s="270"/>
      <c r="D40" s="313"/>
      <c r="E40" s="314"/>
      <c r="F40" s="314"/>
      <c r="G40" s="315"/>
      <c r="H40" s="181" t="s">
        <v>56</v>
      </c>
      <c r="I40" s="305" t="s">
        <v>180</v>
      </c>
      <c r="J40" s="305"/>
      <c r="K40" s="305"/>
      <c r="L40" s="305"/>
      <c r="M40" s="289" t="s">
        <v>160</v>
      </c>
      <c r="N40" s="289"/>
      <c r="O40" s="99"/>
      <c r="P40" s="100"/>
      <c r="Q40" s="100"/>
      <c r="R40" s="132"/>
      <c r="S40" s="307"/>
      <c r="T40" s="308"/>
      <c r="U40" s="308"/>
      <c r="V40" s="308"/>
      <c r="W40" s="309"/>
      <c r="X40" s="183"/>
      <c r="Y40" s="183"/>
      <c r="Z40" s="183"/>
      <c r="AA40" s="120"/>
      <c r="AB40" s="120"/>
      <c r="AC40" s="120"/>
      <c r="AD40" s="120"/>
      <c r="AE40" s="120"/>
      <c r="AF40" s="77"/>
    </row>
    <row r="41" spans="1:32" ht="14.4" customHeight="1" x14ac:dyDescent="0.25">
      <c r="A41" s="120"/>
      <c r="B41" s="267"/>
      <c r="C41" s="270"/>
      <c r="D41" s="243" t="s">
        <v>170</v>
      </c>
      <c r="E41" s="244"/>
      <c r="F41" s="244"/>
      <c r="G41" s="245"/>
      <c r="H41" s="179" t="s">
        <v>57</v>
      </c>
      <c r="I41" s="304" t="s">
        <v>171</v>
      </c>
      <c r="J41" s="304"/>
      <c r="K41" s="304"/>
      <c r="L41" s="304"/>
      <c r="M41" s="289" t="s">
        <v>160</v>
      </c>
      <c r="N41" s="289"/>
      <c r="O41" s="99"/>
      <c r="P41" s="100"/>
      <c r="Q41" s="100"/>
      <c r="R41" s="132"/>
      <c r="S41" s="307"/>
      <c r="T41" s="308"/>
      <c r="U41" s="308"/>
      <c r="V41" s="308"/>
      <c r="W41" s="309"/>
      <c r="X41" s="183"/>
      <c r="Y41" s="183"/>
      <c r="Z41" s="183"/>
      <c r="AA41" s="120"/>
      <c r="AB41" s="120"/>
      <c r="AC41" s="120"/>
      <c r="AD41" s="120"/>
      <c r="AE41" s="120"/>
      <c r="AF41" s="77"/>
    </row>
    <row r="42" spans="1:32" ht="14.4" customHeight="1" x14ac:dyDescent="0.25">
      <c r="A42" s="120"/>
      <c r="B42" s="267"/>
      <c r="C42" s="270"/>
      <c r="D42" s="246"/>
      <c r="E42" s="247"/>
      <c r="F42" s="247"/>
      <c r="G42" s="248"/>
      <c r="H42" s="180" t="s">
        <v>59</v>
      </c>
      <c r="I42" s="304" t="s">
        <v>181</v>
      </c>
      <c r="J42" s="304"/>
      <c r="K42" s="304"/>
      <c r="L42" s="304"/>
      <c r="M42" s="289" t="s">
        <v>160</v>
      </c>
      <c r="N42" s="289"/>
      <c r="O42" s="99"/>
      <c r="P42" s="100"/>
      <c r="Q42" s="100"/>
      <c r="R42" s="132"/>
      <c r="S42" s="307"/>
      <c r="T42" s="308"/>
      <c r="U42" s="308"/>
      <c r="V42" s="308"/>
      <c r="W42" s="309"/>
      <c r="X42" s="183"/>
      <c r="Y42" s="183"/>
      <c r="Z42" s="183"/>
      <c r="AA42" s="120"/>
      <c r="AB42" s="120"/>
      <c r="AC42" s="120"/>
      <c r="AD42" s="120"/>
      <c r="AE42" s="120"/>
      <c r="AF42" s="77"/>
    </row>
    <row r="43" spans="1:32" ht="14.4" customHeight="1" x14ac:dyDescent="0.25">
      <c r="A43" s="120"/>
      <c r="B43" s="267"/>
      <c r="C43" s="270"/>
      <c r="D43" s="246"/>
      <c r="E43" s="247"/>
      <c r="F43" s="247"/>
      <c r="G43" s="248"/>
      <c r="H43" s="160">
        <v>2.9</v>
      </c>
      <c r="I43" s="305" t="s">
        <v>182</v>
      </c>
      <c r="J43" s="305"/>
      <c r="K43" s="305"/>
      <c r="L43" s="305"/>
      <c r="M43" s="306" t="s">
        <v>168</v>
      </c>
      <c r="N43" s="306"/>
      <c r="O43" s="99"/>
      <c r="P43" s="100"/>
      <c r="Q43" s="100"/>
      <c r="R43" s="132"/>
      <c r="S43" s="307"/>
      <c r="T43" s="308"/>
      <c r="U43" s="308"/>
      <c r="V43" s="308"/>
      <c r="W43" s="309"/>
      <c r="X43" s="183"/>
      <c r="Y43" s="183"/>
      <c r="Z43" s="183"/>
      <c r="AA43" s="120"/>
      <c r="AB43" s="120"/>
      <c r="AC43" s="120"/>
      <c r="AD43" s="120"/>
      <c r="AE43" s="120"/>
      <c r="AF43" s="77"/>
    </row>
    <row r="44" spans="1:32" ht="14.4" customHeight="1" x14ac:dyDescent="0.25">
      <c r="A44" s="120"/>
      <c r="B44" s="267"/>
      <c r="C44" s="270"/>
      <c r="D44" s="246"/>
      <c r="E44" s="247"/>
      <c r="F44" s="247"/>
      <c r="G44" s="248"/>
      <c r="H44" s="160">
        <v>2.1</v>
      </c>
      <c r="I44" s="305" t="s">
        <v>183</v>
      </c>
      <c r="J44" s="305"/>
      <c r="K44" s="305"/>
      <c r="L44" s="305"/>
      <c r="M44" s="289" t="s">
        <v>160</v>
      </c>
      <c r="N44" s="289"/>
      <c r="O44" s="99"/>
      <c r="P44" s="100"/>
      <c r="Q44" s="100"/>
      <c r="R44" s="132"/>
      <c r="S44" s="307"/>
      <c r="T44" s="308"/>
      <c r="U44" s="308"/>
      <c r="V44" s="308"/>
      <c r="W44" s="309"/>
      <c r="X44" s="183"/>
      <c r="Y44" s="183"/>
      <c r="Z44" s="183"/>
      <c r="AA44" s="120"/>
      <c r="AB44" s="120"/>
      <c r="AC44" s="120"/>
      <c r="AD44" s="120"/>
      <c r="AE44" s="120"/>
      <c r="AF44" s="77"/>
    </row>
    <row r="45" spans="1:32" ht="14.4" customHeight="1" x14ac:dyDescent="0.25">
      <c r="A45" s="120"/>
      <c r="B45" s="267"/>
      <c r="C45" s="270"/>
      <c r="D45" s="246"/>
      <c r="E45" s="247"/>
      <c r="F45" s="247"/>
      <c r="G45" s="248"/>
      <c r="H45" s="178" t="s">
        <v>62</v>
      </c>
      <c r="I45" s="305" t="s">
        <v>184</v>
      </c>
      <c r="J45" s="305"/>
      <c r="K45" s="305"/>
      <c r="L45" s="305"/>
      <c r="M45" s="289" t="s">
        <v>160</v>
      </c>
      <c r="N45" s="289"/>
      <c r="O45" s="99"/>
      <c r="P45" s="100"/>
      <c r="Q45" s="100"/>
      <c r="R45" s="132"/>
      <c r="S45" s="307"/>
      <c r="T45" s="308"/>
      <c r="U45" s="308"/>
      <c r="V45" s="308"/>
      <c r="W45" s="309"/>
      <c r="X45" s="183"/>
      <c r="Y45" s="183"/>
      <c r="Z45" s="183"/>
      <c r="AA45" s="120"/>
      <c r="AB45" s="120"/>
      <c r="AC45" s="120"/>
      <c r="AD45" s="120"/>
      <c r="AE45" s="120"/>
      <c r="AF45" s="77"/>
    </row>
    <row r="46" spans="1:32" ht="14.4" customHeight="1" x14ac:dyDescent="0.25">
      <c r="A46" s="120"/>
      <c r="B46" s="267"/>
      <c r="C46" s="269"/>
      <c r="D46" s="313"/>
      <c r="E46" s="314"/>
      <c r="F46" s="314"/>
      <c r="G46" s="315"/>
      <c r="H46" s="181" t="s">
        <v>64</v>
      </c>
      <c r="I46" s="305" t="s">
        <v>185</v>
      </c>
      <c r="J46" s="305"/>
      <c r="K46" s="305"/>
      <c r="L46" s="305"/>
      <c r="M46" s="289" t="s">
        <v>160</v>
      </c>
      <c r="N46" s="289"/>
      <c r="O46" s="99"/>
      <c r="P46" s="100"/>
      <c r="Q46" s="100"/>
      <c r="R46" s="132"/>
      <c r="S46" s="307"/>
      <c r="T46" s="308"/>
      <c r="U46" s="308"/>
      <c r="V46" s="308"/>
      <c r="W46" s="309"/>
      <c r="X46" s="183"/>
      <c r="Y46" s="183"/>
      <c r="Z46" s="183"/>
      <c r="AA46" s="120"/>
      <c r="AB46" s="120"/>
      <c r="AC46" s="120"/>
      <c r="AD46" s="120"/>
      <c r="AE46" s="120"/>
      <c r="AF46" s="77"/>
    </row>
    <row r="47" spans="1:32" ht="27" customHeight="1" x14ac:dyDescent="0.25">
      <c r="A47" s="120"/>
      <c r="B47" s="267">
        <v>3</v>
      </c>
      <c r="C47" s="284" t="s">
        <v>186</v>
      </c>
      <c r="D47" s="298" t="s">
        <v>187</v>
      </c>
      <c r="E47" s="299"/>
      <c r="F47" s="299"/>
      <c r="G47" s="300"/>
      <c r="H47" s="160">
        <v>3.1</v>
      </c>
      <c r="I47" s="288" t="s">
        <v>188</v>
      </c>
      <c r="J47" s="288"/>
      <c r="K47" s="288"/>
      <c r="L47" s="288"/>
      <c r="M47" s="289" t="s">
        <v>160</v>
      </c>
      <c r="N47" s="289"/>
      <c r="O47" s="99"/>
      <c r="P47" s="129"/>
      <c r="Q47" s="129"/>
      <c r="R47" s="133"/>
      <c r="S47" s="307"/>
      <c r="T47" s="308"/>
      <c r="U47" s="308"/>
      <c r="V47" s="308"/>
      <c r="W47" s="309"/>
      <c r="X47" s="183"/>
      <c r="Y47" s="183"/>
      <c r="Z47" s="183"/>
      <c r="AA47" s="127"/>
      <c r="AB47" s="127"/>
      <c r="AC47" s="127"/>
      <c r="AD47" s="127"/>
      <c r="AE47" s="127"/>
      <c r="AF47" s="77"/>
    </row>
    <row r="48" spans="1:32" ht="27" customHeight="1" x14ac:dyDescent="0.25">
      <c r="A48" s="120"/>
      <c r="B48" s="267"/>
      <c r="C48" s="284"/>
      <c r="D48" s="298" t="s">
        <v>189</v>
      </c>
      <c r="E48" s="299"/>
      <c r="F48" s="299"/>
      <c r="G48" s="300"/>
      <c r="H48" s="160">
        <v>3.2</v>
      </c>
      <c r="I48" s="288" t="s">
        <v>190</v>
      </c>
      <c r="J48" s="288"/>
      <c r="K48" s="288"/>
      <c r="L48" s="288"/>
      <c r="M48" s="289" t="s">
        <v>160</v>
      </c>
      <c r="N48" s="289"/>
      <c r="O48" s="99"/>
      <c r="P48" s="129"/>
      <c r="Q48" s="129"/>
      <c r="R48" s="133"/>
      <c r="S48" s="307"/>
      <c r="T48" s="308"/>
      <c r="U48" s="308"/>
      <c r="V48" s="308"/>
      <c r="W48" s="309"/>
      <c r="X48" s="183"/>
      <c r="Y48" s="183"/>
      <c r="Z48" s="183"/>
      <c r="AA48" s="127"/>
      <c r="AB48" s="127"/>
      <c r="AC48" s="127"/>
      <c r="AD48" s="127"/>
      <c r="AE48" s="127"/>
      <c r="AF48" s="77"/>
    </row>
    <row r="49" spans="1:32" ht="27" customHeight="1" x14ac:dyDescent="0.25">
      <c r="A49" s="120"/>
      <c r="B49" s="267"/>
      <c r="C49" s="284"/>
      <c r="D49" s="298" t="s">
        <v>191</v>
      </c>
      <c r="E49" s="299"/>
      <c r="F49" s="299"/>
      <c r="G49" s="300"/>
      <c r="H49" s="160">
        <v>3.2</v>
      </c>
      <c r="I49" s="288" t="s">
        <v>192</v>
      </c>
      <c r="J49" s="288"/>
      <c r="K49" s="288"/>
      <c r="L49" s="288"/>
      <c r="M49" s="289" t="s">
        <v>160</v>
      </c>
      <c r="N49" s="289"/>
      <c r="O49" s="99"/>
      <c r="P49" s="129"/>
      <c r="Q49" s="129"/>
      <c r="R49" s="133"/>
      <c r="S49" s="307"/>
      <c r="T49" s="308"/>
      <c r="U49" s="308"/>
      <c r="V49" s="308"/>
      <c r="W49" s="309"/>
      <c r="X49" s="183"/>
      <c r="Y49" s="183"/>
      <c r="Z49" s="183"/>
      <c r="AA49" s="127"/>
      <c r="AB49" s="127"/>
      <c r="AC49" s="127"/>
      <c r="AD49" s="127"/>
      <c r="AE49" s="127"/>
      <c r="AF49" s="77"/>
    </row>
    <row r="50" spans="1:32" ht="27" customHeight="1" x14ac:dyDescent="0.25">
      <c r="A50" s="120"/>
      <c r="B50" s="267"/>
      <c r="C50" s="284"/>
      <c r="D50" s="298" t="s">
        <v>193</v>
      </c>
      <c r="E50" s="299"/>
      <c r="F50" s="299"/>
      <c r="G50" s="300"/>
      <c r="H50" s="160">
        <v>3.4</v>
      </c>
      <c r="I50" s="288" t="s">
        <v>194</v>
      </c>
      <c r="J50" s="288"/>
      <c r="K50" s="288"/>
      <c r="L50" s="288"/>
      <c r="M50" s="289" t="s">
        <v>160</v>
      </c>
      <c r="N50" s="289"/>
      <c r="O50" s="99"/>
      <c r="P50" s="129"/>
      <c r="Q50" s="129"/>
      <c r="R50" s="133"/>
      <c r="S50" s="307"/>
      <c r="T50" s="308"/>
      <c r="U50" s="308"/>
      <c r="V50" s="308"/>
      <c r="W50" s="309"/>
      <c r="X50" s="183"/>
      <c r="Y50" s="183"/>
      <c r="Z50" s="183"/>
      <c r="AA50" s="127"/>
      <c r="AB50" s="127"/>
      <c r="AC50" s="127"/>
      <c r="AD50" s="127"/>
      <c r="AE50" s="127"/>
      <c r="AF50" s="77"/>
    </row>
    <row r="51" spans="1:32" ht="27" customHeight="1" x14ac:dyDescent="0.25">
      <c r="A51" s="120"/>
      <c r="B51" s="267">
        <v>4</v>
      </c>
      <c r="C51" s="284" t="s">
        <v>195</v>
      </c>
      <c r="D51" s="298" t="s">
        <v>187</v>
      </c>
      <c r="E51" s="299"/>
      <c r="F51" s="299"/>
      <c r="G51" s="300"/>
      <c r="H51" s="160">
        <v>4.0999999999999996</v>
      </c>
      <c r="I51" s="288" t="s">
        <v>196</v>
      </c>
      <c r="J51" s="288"/>
      <c r="K51" s="288"/>
      <c r="L51" s="288"/>
      <c r="M51" s="289" t="s">
        <v>160</v>
      </c>
      <c r="N51" s="289"/>
      <c r="O51" s="99"/>
      <c r="P51" s="129"/>
      <c r="Q51" s="129"/>
      <c r="R51" s="133"/>
      <c r="S51" s="307"/>
      <c r="T51" s="308"/>
      <c r="U51" s="308"/>
      <c r="V51" s="308"/>
      <c r="W51" s="309"/>
      <c r="X51" s="183"/>
      <c r="Y51" s="183"/>
      <c r="Z51" s="183"/>
      <c r="AA51" s="127"/>
      <c r="AB51" s="127"/>
      <c r="AC51" s="127"/>
      <c r="AD51" s="127"/>
      <c r="AE51" s="127"/>
      <c r="AF51" s="77"/>
    </row>
    <row r="52" spans="1:32" ht="27" customHeight="1" x14ac:dyDescent="0.25">
      <c r="A52" s="120"/>
      <c r="B52" s="267"/>
      <c r="C52" s="284"/>
      <c r="D52" s="298" t="s">
        <v>189</v>
      </c>
      <c r="E52" s="299"/>
      <c r="F52" s="299"/>
      <c r="G52" s="300"/>
      <c r="H52" s="160">
        <v>4.2</v>
      </c>
      <c r="I52" s="288" t="s">
        <v>197</v>
      </c>
      <c r="J52" s="288"/>
      <c r="K52" s="288"/>
      <c r="L52" s="288"/>
      <c r="M52" s="289" t="s">
        <v>160</v>
      </c>
      <c r="N52" s="289"/>
      <c r="O52" s="99"/>
      <c r="P52" s="129"/>
      <c r="Q52" s="129"/>
      <c r="R52" s="133"/>
      <c r="S52" s="307"/>
      <c r="T52" s="308"/>
      <c r="U52" s="308"/>
      <c r="V52" s="308"/>
      <c r="W52" s="309"/>
      <c r="X52" s="183"/>
      <c r="Y52" s="183"/>
      <c r="Z52" s="183"/>
      <c r="AA52" s="127"/>
      <c r="AB52" s="127"/>
      <c r="AC52" s="127"/>
      <c r="AD52" s="127"/>
      <c r="AE52" s="127"/>
      <c r="AF52" s="77"/>
    </row>
    <row r="53" spans="1:32" ht="27" customHeight="1" x14ac:dyDescent="0.25">
      <c r="A53" s="120"/>
      <c r="B53" s="267"/>
      <c r="C53" s="284"/>
      <c r="D53" s="298" t="s">
        <v>191</v>
      </c>
      <c r="E53" s="299"/>
      <c r="F53" s="299"/>
      <c r="G53" s="300"/>
      <c r="H53" s="160">
        <v>4.3</v>
      </c>
      <c r="I53" s="288" t="s">
        <v>198</v>
      </c>
      <c r="J53" s="288"/>
      <c r="K53" s="288"/>
      <c r="L53" s="288"/>
      <c r="M53" s="289" t="s">
        <v>160</v>
      </c>
      <c r="N53" s="289"/>
      <c r="O53" s="99"/>
      <c r="P53" s="129"/>
      <c r="Q53" s="129"/>
      <c r="R53" s="133"/>
      <c r="S53" s="307"/>
      <c r="T53" s="308"/>
      <c r="U53" s="308"/>
      <c r="V53" s="308"/>
      <c r="W53" s="309"/>
      <c r="X53" s="183"/>
      <c r="Y53" s="183"/>
      <c r="Z53" s="183"/>
      <c r="AA53" s="127"/>
      <c r="AB53" s="127"/>
      <c r="AC53" s="127"/>
      <c r="AD53" s="127"/>
      <c r="AE53" s="127"/>
      <c r="AF53" s="77"/>
    </row>
    <row r="54" spans="1:32" ht="27" customHeight="1" x14ac:dyDescent="0.25">
      <c r="A54" s="120"/>
      <c r="B54" s="267"/>
      <c r="C54" s="284"/>
      <c r="D54" s="298" t="s">
        <v>193</v>
      </c>
      <c r="E54" s="299"/>
      <c r="F54" s="299"/>
      <c r="G54" s="300"/>
      <c r="H54" s="160">
        <v>4.4000000000000004</v>
      </c>
      <c r="I54" s="288" t="s">
        <v>199</v>
      </c>
      <c r="J54" s="288"/>
      <c r="K54" s="288"/>
      <c r="L54" s="288"/>
      <c r="M54" s="289" t="s">
        <v>160</v>
      </c>
      <c r="N54" s="289"/>
      <c r="O54" s="99"/>
      <c r="P54" s="100"/>
      <c r="Q54" s="100"/>
      <c r="R54" s="132"/>
      <c r="S54" s="307"/>
      <c r="T54" s="308"/>
      <c r="U54" s="308"/>
      <c r="V54" s="308"/>
      <c r="W54" s="309"/>
      <c r="X54" s="183"/>
      <c r="Y54" s="183"/>
      <c r="Z54" s="183"/>
      <c r="AA54" s="127"/>
      <c r="AB54" s="127"/>
      <c r="AC54" s="127"/>
      <c r="AD54" s="127"/>
      <c r="AE54" s="127"/>
      <c r="AF54" s="77"/>
    </row>
    <row r="55" spans="1:32" ht="12" x14ac:dyDescent="0.25">
      <c r="A55" s="301"/>
      <c r="B55" s="301"/>
      <c r="C55" s="301"/>
      <c r="D55" s="120"/>
      <c r="E55" s="120"/>
      <c r="F55" s="120"/>
      <c r="G55" s="120"/>
      <c r="H55" s="177"/>
      <c r="I55" s="120"/>
      <c r="J55" s="302"/>
      <c r="K55" s="302"/>
      <c r="L55" s="303"/>
      <c r="M55" s="303"/>
      <c r="N55" s="120"/>
      <c r="O55" s="125"/>
      <c r="P55" s="126"/>
      <c r="Q55" s="126"/>
      <c r="R55" s="126"/>
      <c r="S55" s="126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77"/>
    </row>
    <row r="56" spans="1:32" ht="14.4" customHeight="1" x14ac:dyDescent="0.25">
      <c r="A56" s="77"/>
      <c r="B56" s="77"/>
      <c r="C56" s="77"/>
      <c r="D56" s="77"/>
      <c r="E56" s="77"/>
      <c r="F56" s="77"/>
      <c r="G56" s="77"/>
      <c r="H56" s="176"/>
      <c r="I56" s="77"/>
      <c r="J56" s="90"/>
      <c r="K56" s="91"/>
      <c r="L56" s="91"/>
      <c r="M56" s="77"/>
      <c r="N56" s="77"/>
      <c r="O56" s="86" t="s">
        <v>82</v>
      </c>
      <c r="P56" s="107">
        <f>COUNTIF(P27:P54,"PASSED")</f>
        <v>0</v>
      </c>
      <c r="Q56" s="112"/>
      <c r="R56" s="77"/>
      <c r="S56" s="77"/>
      <c r="T56" s="95"/>
      <c r="U56" s="95"/>
      <c r="V56" s="95"/>
      <c r="W56" s="77"/>
      <c r="X56" s="77"/>
      <c r="Y56" s="77"/>
      <c r="Z56" s="77"/>
      <c r="AA56" s="77"/>
      <c r="AB56" s="77"/>
      <c r="AC56" s="77"/>
      <c r="AD56" s="77"/>
      <c r="AE56" s="77"/>
      <c r="AF56" s="77"/>
    </row>
    <row r="57" spans="1:32" ht="14.4" customHeight="1" x14ac:dyDescent="0.25">
      <c r="A57" s="77"/>
      <c r="B57" s="77"/>
      <c r="C57" s="77"/>
      <c r="D57" s="77"/>
      <c r="E57" s="77"/>
      <c r="F57" s="77"/>
      <c r="G57" s="77"/>
      <c r="H57" s="176"/>
      <c r="I57" s="77"/>
      <c r="J57" s="90"/>
      <c r="K57" s="91"/>
      <c r="L57" s="91"/>
      <c r="M57" s="77"/>
      <c r="N57" s="77"/>
      <c r="O57" s="86" t="s">
        <v>83</v>
      </c>
      <c r="P57" s="108">
        <f>COUNTIF(P27:P54, "PASSED WITH CONDITION")</f>
        <v>0</v>
      </c>
      <c r="Q57" s="112"/>
      <c r="R57" s="77"/>
      <c r="S57" s="77"/>
      <c r="T57" s="95"/>
      <c r="U57" s="95"/>
      <c r="V57" s="95"/>
      <c r="W57" s="77"/>
      <c r="X57" s="77"/>
      <c r="Y57" s="77"/>
      <c r="Z57" s="77"/>
      <c r="AA57" s="77"/>
      <c r="AB57" s="77"/>
      <c r="AC57" s="77"/>
      <c r="AD57" s="77"/>
      <c r="AE57" s="77"/>
      <c r="AF57" s="77"/>
    </row>
    <row r="58" spans="1:32" ht="14.4" customHeight="1" x14ac:dyDescent="0.25">
      <c r="A58" s="77"/>
      <c r="B58" s="77"/>
      <c r="C58" s="77"/>
      <c r="D58" s="77"/>
      <c r="E58" s="77"/>
      <c r="F58" s="77"/>
      <c r="G58" s="77"/>
      <c r="H58" s="176"/>
      <c r="I58" s="77"/>
      <c r="J58" s="90"/>
      <c r="K58" s="91"/>
      <c r="L58" s="91"/>
      <c r="M58" s="77"/>
      <c r="N58" s="77"/>
      <c r="O58" s="86" t="s">
        <v>84</v>
      </c>
      <c r="P58" s="109">
        <f>COUNTIF(P27:P54,"FAILED")</f>
        <v>0</v>
      </c>
      <c r="Q58" s="112"/>
      <c r="R58" s="77"/>
      <c r="S58" s="77"/>
      <c r="T58" s="95"/>
      <c r="U58" s="95"/>
      <c r="V58" s="95"/>
      <c r="W58" s="77"/>
      <c r="X58" s="77"/>
      <c r="Y58" s="77"/>
      <c r="Z58" s="77"/>
      <c r="AA58" s="77"/>
      <c r="AB58" s="77"/>
      <c r="AC58" s="77"/>
      <c r="AD58" s="77"/>
      <c r="AE58" s="77"/>
      <c r="AF58" s="77"/>
    </row>
    <row r="59" spans="1:32" ht="14.4" customHeight="1" x14ac:dyDescent="0.25">
      <c r="A59" s="77"/>
      <c r="B59" s="77"/>
      <c r="C59" s="77"/>
      <c r="D59" s="77"/>
      <c r="E59" s="77"/>
      <c r="F59" s="77"/>
      <c r="G59" s="77"/>
      <c r="H59" s="176"/>
      <c r="I59" s="77"/>
      <c r="J59" s="90"/>
      <c r="K59" s="91"/>
      <c r="L59" s="91"/>
      <c r="M59" s="77"/>
      <c r="N59" s="77"/>
      <c r="O59" s="86" t="s">
        <v>85</v>
      </c>
      <c r="P59" s="110">
        <f>COUNTIF(P27:P54,"N/A")</f>
        <v>0</v>
      </c>
      <c r="Q59" s="112"/>
      <c r="R59" s="77"/>
      <c r="S59" s="77"/>
      <c r="T59" s="95"/>
      <c r="U59" s="95"/>
      <c r="V59" s="95"/>
      <c r="W59" s="77"/>
      <c r="X59" s="77"/>
      <c r="Y59" s="77"/>
      <c r="Z59" s="77"/>
      <c r="AA59" s="77"/>
      <c r="AB59" s="77"/>
      <c r="AC59" s="77"/>
      <c r="AD59" s="77"/>
      <c r="AE59" s="77"/>
      <c r="AF59" s="77"/>
    </row>
    <row r="60" spans="1:32" ht="14.4" customHeight="1" x14ac:dyDescent="0.25">
      <c r="A60" s="77"/>
      <c r="B60" s="77"/>
      <c r="C60" s="77"/>
      <c r="D60" s="77"/>
      <c r="E60" s="77"/>
      <c r="F60" s="77"/>
      <c r="G60" s="77"/>
      <c r="H60" s="176"/>
      <c r="I60" s="77"/>
      <c r="J60" s="90"/>
      <c r="K60" s="91"/>
      <c r="L60" s="91"/>
      <c r="M60" s="77"/>
      <c r="N60" s="77"/>
      <c r="O60" s="77"/>
      <c r="P60" s="95"/>
      <c r="Q60" s="95"/>
      <c r="R60" s="77"/>
      <c r="S60" s="77"/>
      <c r="T60" s="95"/>
      <c r="U60" s="95"/>
      <c r="V60" s="95"/>
      <c r="W60" s="77"/>
      <c r="X60" s="77"/>
      <c r="Y60" s="77"/>
      <c r="Z60" s="77"/>
      <c r="AA60" s="77"/>
      <c r="AB60" s="77"/>
      <c r="AC60" s="77"/>
      <c r="AD60" s="77"/>
      <c r="AE60" s="77"/>
      <c r="AF60" s="77"/>
    </row>
    <row r="61" spans="1:32" ht="14.4" customHeight="1" x14ac:dyDescent="0.25">
      <c r="A61" s="77"/>
      <c r="B61" s="77"/>
      <c r="C61" s="77"/>
      <c r="D61" s="77"/>
      <c r="E61" s="77"/>
      <c r="F61" s="77"/>
      <c r="G61" s="77"/>
      <c r="H61" s="176"/>
      <c r="I61" s="77"/>
      <c r="J61" s="90"/>
      <c r="K61" s="91"/>
      <c r="L61" s="91"/>
      <c r="M61" s="77"/>
      <c r="N61" s="77"/>
      <c r="O61" s="77"/>
      <c r="P61" s="95"/>
      <c r="Q61" s="95"/>
      <c r="R61" s="77"/>
      <c r="S61" s="77"/>
      <c r="T61" s="95"/>
      <c r="U61" s="95"/>
      <c r="V61" s="95"/>
      <c r="W61" s="77"/>
      <c r="X61" s="77"/>
      <c r="Y61" s="77"/>
      <c r="Z61" s="77"/>
      <c r="AA61" s="77"/>
      <c r="AB61" s="77"/>
      <c r="AC61" s="77"/>
      <c r="AD61" s="77"/>
      <c r="AE61" s="77"/>
      <c r="AF61" s="77"/>
    </row>
    <row r="62" spans="1:32" ht="14.4" customHeight="1" x14ac:dyDescent="0.25">
      <c r="A62" s="77"/>
      <c r="B62" s="77"/>
      <c r="C62" s="77"/>
      <c r="D62" s="77"/>
      <c r="E62" s="77"/>
      <c r="F62" s="77"/>
      <c r="G62" s="77"/>
      <c r="H62" s="176"/>
      <c r="I62" s="77"/>
      <c r="J62" s="90"/>
      <c r="K62" s="91"/>
      <c r="L62" s="91"/>
      <c r="M62" s="77"/>
      <c r="N62" s="77"/>
      <c r="O62" s="77"/>
      <c r="P62" s="77"/>
      <c r="Q62" s="77"/>
      <c r="R62" s="77"/>
      <c r="S62" s="77"/>
      <c r="T62" s="95"/>
      <c r="U62" s="95"/>
      <c r="V62" s="95"/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 spans="1:32" ht="14.4" customHeight="1" x14ac:dyDescent="0.25">
      <c r="A63" s="77"/>
      <c r="B63" s="77"/>
      <c r="C63" s="77"/>
      <c r="D63" s="77"/>
      <c r="E63" s="77"/>
      <c r="F63" s="77"/>
      <c r="G63" s="77"/>
      <c r="H63" s="176"/>
      <c r="I63" s="77"/>
      <c r="J63" s="90"/>
      <c r="K63" s="91"/>
      <c r="L63" s="91"/>
      <c r="M63" s="77"/>
      <c r="N63" s="77"/>
      <c r="O63" s="77"/>
      <c r="P63" s="77"/>
      <c r="Q63" s="77"/>
      <c r="R63" s="77"/>
      <c r="S63" s="77"/>
      <c r="T63" s="95"/>
      <c r="U63" s="95"/>
      <c r="V63" s="95"/>
      <c r="W63" s="77"/>
      <c r="X63" s="77"/>
      <c r="Y63" s="77"/>
      <c r="Z63" s="77"/>
      <c r="AA63" s="77"/>
      <c r="AB63" s="77"/>
      <c r="AC63" s="77"/>
      <c r="AD63" s="77"/>
      <c r="AE63" s="77"/>
      <c r="AF63" s="77"/>
    </row>
    <row r="64" spans="1:32" ht="14.4" customHeight="1" x14ac:dyDescent="0.25">
      <c r="A64" s="77"/>
      <c r="B64" s="77"/>
      <c r="C64" s="77"/>
      <c r="D64" s="77"/>
      <c r="E64" s="77"/>
      <c r="F64" s="77"/>
      <c r="G64" s="77"/>
      <c r="H64" s="176"/>
      <c r="I64" s="77"/>
      <c r="J64" s="90"/>
      <c r="K64" s="91"/>
      <c r="L64" s="91"/>
      <c r="M64" s="77"/>
      <c r="N64" s="77"/>
      <c r="O64" s="77"/>
      <c r="P64" s="77"/>
      <c r="Q64" s="77"/>
      <c r="R64" s="77"/>
      <c r="S64" s="77"/>
      <c r="T64" s="95"/>
      <c r="U64" s="95"/>
      <c r="V64" s="95"/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 spans="1:32" ht="14.4" customHeight="1" x14ac:dyDescent="0.25">
      <c r="A65" s="77"/>
      <c r="B65" s="77"/>
      <c r="C65" s="77"/>
      <c r="D65" s="77"/>
      <c r="E65" s="77"/>
      <c r="F65" s="77"/>
      <c r="G65" s="77"/>
      <c r="H65" s="176"/>
      <c r="I65" s="77"/>
      <c r="J65" s="90"/>
      <c r="K65" s="91"/>
      <c r="L65" s="91"/>
      <c r="M65" s="77"/>
      <c r="N65" s="77"/>
      <c r="O65" s="77"/>
      <c r="P65" s="77"/>
      <c r="Q65" s="77"/>
      <c r="R65" s="77"/>
      <c r="S65" s="77"/>
      <c r="T65" s="95"/>
      <c r="U65" s="95"/>
      <c r="V65" s="95"/>
      <c r="W65" s="77"/>
      <c r="X65" s="77"/>
      <c r="Y65" s="77"/>
      <c r="Z65" s="77"/>
      <c r="AA65" s="77"/>
      <c r="AB65" s="77"/>
      <c r="AC65" s="77"/>
      <c r="AD65" s="77"/>
      <c r="AE65" s="77"/>
      <c r="AF65" s="77"/>
    </row>
    <row r="66" spans="1:32" ht="14.4" customHeight="1" x14ac:dyDescent="0.25">
      <c r="A66" s="77"/>
      <c r="B66" s="77"/>
      <c r="C66" s="77"/>
      <c r="D66" s="77"/>
      <c r="E66" s="77"/>
      <c r="F66" s="77"/>
      <c r="G66" s="77"/>
      <c r="H66" s="176"/>
      <c r="I66" s="77"/>
      <c r="J66" s="90"/>
      <c r="K66" s="91"/>
      <c r="L66" s="91"/>
      <c r="M66" s="77"/>
      <c r="N66" s="77"/>
      <c r="O66" s="77"/>
      <c r="P66" s="77"/>
      <c r="Q66" s="77"/>
      <c r="R66" s="77"/>
      <c r="S66" s="77"/>
      <c r="T66" s="95"/>
      <c r="U66" s="95"/>
      <c r="V66" s="95"/>
      <c r="W66" s="77"/>
      <c r="X66" s="77"/>
      <c r="Y66" s="77"/>
      <c r="Z66" s="77"/>
      <c r="AA66" s="77"/>
      <c r="AB66" s="77"/>
      <c r="AC66" s="77"/>
      <c r="AD66" s="77"/>
      <c r="AE66" s="77"/>
      <c r="AF66" s="77"/>
    </row>
    <row r="67" spans="1:32" ht="14.4" customHeight="1" x14ac:dyDescent="0.25">
      <c r="A67" s="77"/>
      <c r="B67" s="77"/>
      <c r="C67" s="77"/>
      <c r="D67" s="77"/>
      <c r="E67" s="77"/>
      <c r="F67" s="77"/>
      <c r="G67" s="77"/>
      <c r="H67" s="176"/>
      <c r="I67" s="77"/>
      <c r="J67" s="90"/>
      <c r="K67" s="91"/>
      <c r="L67" s="91"/>
      <c r="M67" s="77"/>
      <c r="N67" s="77"/>
      <c r="O67" s="77"/>
      <c r="P67" s="77"/>
      <c r="Q67" s="77"/>
      <c r="R67" s="77"/>
      <c r="S67" s="77"/>
      <c r="T67" s="95"/>
      <c r="U67" s="95"/>
      <c r="V67" s="95"/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 spans="1:32" ht="14.4" customHeight="1" x14ac:dyDescent="0.25">
      <c r="A68" s="77"/>
      <c r="B68" s="77"/>
      <c r="C68" s="77"/>
      <c r="D68" s="77"/>
      <c r="E68" s="77"/>
      <c r="F68" s="77"/>
      <c r="G68" s="77"/>
      <c r="H68" s="176"/>
      <c r="I68" s="77"/>
      <c r="J68" s="90"/>
      <c r="K68" s="91"/>
      <c r="L68" s="91"/>
      <c r="M68" s="77"/>
      <c r="N68" s="77"/>
      <c r="O68" s="77"/>
      <c r="P68" s="77"/>
      <c r="Q68" s="77"/>
      <c r="R68" s="77"/>
      <c r="S68" s="77"/>
      <c r="T68" s="95"/>
      <c r="U68" s="95"/>
      <c r="V68" s="95"/>
      <c r="W68" s="77"/>
      <c r="X68" s="77"/>
      <c r="Y68" s="77"/>
      <c r="Z68" s="77"/>
      <c r="AA68" s="77"/>
      <c r="AB68" s="77"/>
      <c r="AC68" s="77"/>
      <c r="AD68" s="77"/>
      <c r="AE68" s="77"/>
      <c r="AF68" s="77"/>
    </row>
    <row r="69" spans="1:32" ht="14.4" customHeight="1" x14ac:dyDescent="0.25">
      <c r="A69" s="77"/>
      <c r="B69" s="77"/>
      <c r="C69" s="77"/>
      <c r="D69" s="77"/>
      <c r="E69" s="77"/>
      <c r="F69" s="77"/>
      <c r="G69" s="77"/>
      <c r="H69" s="176"/>
      <c r="I69" s="77"/>
      <c r="J69" s="90"/>
      <c r="K69" s="91"/>
      <c r="L69" s="91"/>
      <c r="M69" s="77"/>
      <c r="N69" s="77"/>
      <c r="O69" s="77"/>
      <c r="P69" s="77"/>
      <c r="Q69" s="77"/>
      <c r="R69" s="77"/>
      <c r="S69" s="77"/>
      <c r="T69" s="95"/>
      <c r="U69" s="95"/>
      <c r="V69" s="95"/>
      <c r="W69" s="77"/>
      <c r="X69" s="77"/>
      <c r="Y69" s="77"/>
      <c r="Z69" s="77"/>
      <c r="AA69" s="77"/>
      <c r="AB69" s="77"/>
      <c r="AC69" s="77"/>
      <c r="AD69" s="77"/>
      <c r="AE69" s="77"/>
      <c r="AF69" s="77"/>
    </row>
    <row r="70" spans="1:32" ht="14.4" customHeight="1" x14ac:dyDescent="0.25">
      <c r="A70" s="77"/>
      <c r="B70" s="77"/>
      <c r="C70" s="77"/>
      <c r="D70" s="77"/>
      <c r="E70" s="77"/>
      <c r="F70" s="77"/>
      <c r="G70" s="77"/>
      <c r="H70" s="176"/>
      <c r="I70" s="77"/>
      <c r="J70" s="90"/>
      <c r="K70" s="91"/>
      <c r="L70" s="91"/>
      <c r="M70" s="77"/>
      <c r="N70" s="77"/>
      <c r="O70" s="77"/>
      <c r="P70" s="77"/>
      <c r="Q70" s="77"/>
      <c r="R70" s="77"/>
      <c r="S70" s="77"/>
      <c r="T70" s="95"/>
      <c r="U70" s="95"/>
      <c r="V70" s="95"/>
      <c r="W70" s="77"/>
      <c r="X70" s="77"/>
      <c r="Y70" s="77"/>
      <c r="Z70" s="77"/>
      <c r="AA70" s="77"/>
      <c r="AB70" s="77"/>
      <c r="AC70" s="77"/>
      <c r="AD70" s="77"/>
      <c r="AE70" s="77"/>
      <c r="AF70" s="77"/>
    </row>
    <row r="71" spans="1:32" ht="14.4" customHeight="1" x14ac:dyDescent="0.25">
      <c r="A71" s="77"/>
      <c r="B71" s="77"/>
      <c r="C71" s="77"/>
      <c r="D71" s="77"/>
      <c r="E71" s="77"/>
      <c r="F71" s="77"/>
      <c r="G71" s="77"/>
      <c r="H71" s="176"/>
      <c r="I71" s="77"/>
      <c r="J71" s="90"/>
      <c r="K71" s="91"/>
      <c r="L71" s="91"/>
      <c r="M71" s="77"/>
      <c r="N71" s="77"/>
      <c r="O71" s="77"/>
      <c r="P71" s="77"/>
      <c r="Q71" s="77"/>
      <c r="R71" s="77"/>
      <c r="S71" s="77"/>
      <c r="T71" s="95"/>
      <c r="U71" s="95"/>
      <c r="V71" s="95"/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 spans="1:32" ht="14.4" customHeight="1" x14ac:dyDescent="0.25">
      <c r="A72" s="77"/>
      <c r="B72" s="77"/>
      <c r="C72" s="77"/>
      <c r="D72" s="77"/>
      <c r="E72" s="77"/>
      <c r="F72" s="77"/>
      <c r="G72" s="77"/>
      <c r="H72" s="176"/>
      <c r="I72" s="77"/>
      <c r="J72" s="90"/>
      <c r="K72" s="91"/>
      <c r="L72" s="91"/>
      <c r="M72" s="77"/>
      <c r="N72" s="77"/>
      <c r="O72" s="77"/>
      <c r="P72" s="77"/>
      <c r="Q72" s="77"/>
      <c r="R72" s="77"/>
      <c r="S72" s="77"/>
      <c r="T72" s="95"/>
      <c r="U72" s="95"/>
      <c r="V72" s="95"/>
      <c r="W72" s="77"/>
      <c r="X72" s="77"/>
      <c r="Y72" s="77"/>
      <c r="Z72" s="77"/>
      <c r="AA72" s="77"/>
      <c r="AB72" s="77"/>
      <c r="AC72" s="77"/>
      <c r="AD72" s="77"/>
      <c r="AE72" s="77"/>
      <c r="AF72" s="77"/>
    </row>
    <row r="73" spans="1:32" ht="14.4" customHeight="1" x14ac:dyDescent="0.25">
      <c r="A73" s="77"/>
      <c r="B73" s="77"/>
      <c r="C73" s="77"/>
      <c r="D73" s="77"/>
      <c r="E73" s="77"/>
      <c r="F73" s="77"/>
      <c r="G73" s="77"/>
      <c r="H73" s="176"/>
      <c r="I73" s="77"/>
      <c r="J73" s="90"/>
      <c r="K73" s="91"/>
      <c r="L73" s="91"/>
      <c r="M73" s="77"/>
      <c r="N73" s="77"/>
      <c r="O73" s="77"/>
      <c r="P73" s="77"/>
      <c r="Q73" s="77"/>
      <c r="R73" s="77"/>
      <c r="S73" s="77"/>
      <c r="T73" s="95"/>
      <c r="U73" s="95"/>
      <c r="V73" s="95"/>
      <c r="W73" s="77"/>
      <c r="X73" s="77"/>
      <c r="Y73" s="77"/>
      <c r="Z73" s="77"/>
      <c r="AA73" s="77"/>
      <c r="AB73" s="77"/>
      <c r="AC73" s="77"/>
      <c r="AD73" s="77"/>
      <c r="AE73" s="77"/>
      <c r="AF73" s="77"/>
    </row>
    <row r="74" spans="1:32" ht="14.4" customHeight="1" x14ac:dyDescent="0.25">
      <c r="A74" s="77"/>
      <c r="B74" s="77"/>
      <c r="C74" s="77"/>
      <c r="D74" s="77"/>
      <c r="E74" s="77"/>
      <c r="F74" s="77"/>
      <c r="G74" s="77"/>
      <c r="H74" s="176"/>
      <c r="I74" s="77"/>
      <c r="J74" s="90"/>
      <c r="K74" s="91"/>
      <c r="L74" s="91"/>
      <c r="M74" s="77"/>
      <c r="N74" s="77"/>
      <c r="O74" s="77"/>
      <c r="P74" s="77"/>
      <c r="Q74" s="77"/>
      <c r="R74" s="77"/>
      <c r="S74" s="77"/>
      <c r="T74" s="95"/>
      <c r="U74" s="95"/>
      <c r="V74" s="95"/>
      <c r="W74" s="77"/>
      <c r="X74" s="77"/>
      <c r="Y74" s="77"/>
      <c r="Z74" s="77"/>
      <c r="AA74" s="77"/>
      <c r="AB74" s="77"/>
      <c r="AC74" s="77"/>
      <c r="AD74" s="77"/>
      <c r="AE74" s="77"/>
      <c r="AF74" s="77"/>
    </row>
    <row r="75" spans="1:32" ht="14.4" customHeight="1" x14ac:dyDescent="0.25">
      <c r="A75" s="77"/>
      <c r="B75" s="77"/>
      <c r="C75" s="77"/>
      <c r="D75" s="77"/>
      <c r="E75" s="77"/>
      <c r="F75" s="77"/>
      <c r="G75" s="77"/>
      <c r="H75" s="176"/>
      <c r="I75" s="77"/>
      <c r="J75" s="90"/>
      <c r="K75" s="91"/>
      <c r="L75" s="91"/>
      <c r="M75" s="77"/>
      <c r="N75" s="77"/>
      <c r="O75" s="77"/>
      <c r="P75" s="77"/>
      <c r="Q75" s="77"/>
      <c r="R75" s="77"/>
      <c r="S75" s="77"/>
      <c r="T75" s="95"/>
      <c r="U75" s="95"/>
      <c r="V75" s="95"/>
      <c r="W75" s="77"/>
      <c r="X75" s="77"/>
      <c r="Y75" s="77"/>
      <c r="Z75" s="77"/>
      <c r="AA75" s="77"/>
      <c r="AB75" s="77"/>
      <c r="AC75" s="77"/>
      <c r="AD75" s="77"/>
      <c r="AE75" s="77"/>
      <c r="AF75" s="77"/>
    </row>
    <row r="76" spans="1:32" ht="14.4" customHeight="1" x14ac:dyDescent="0.25">
      <c r="A76" s="77"/>
      <c r="B76" s="77"/>
      <c r="C76" s="77"/>
      <c r="D76" s="77"/>
      <c r="E76" s="77"/>
      <c r="F76" s="77"/>
      <c r="G76" s="77"/>
      <c r="H76" s="176"/>
      <c r="I76" s="77"/>
      <c r="J76" s="90"/>
      <c r="K76" s="91"/>
      <c r="L76" s="91"/>
      <c r="M76" s="77"/>
      <c r="N76" s="77"/>
      <c r="O76" s="77"/>
      <c r="P76" s="77"/>
      <c r="Q76" s="77"/>
      <c r="R76" s="77"/>
      <c r="S76" s="77"/>
      <c r="T76" s="95"/>
      <c r="U76" s="95"/>
      <c r="V76" s="95"/>
      <c r="W76" s="77"/>
      <c r="X76" s="77"/>
      <c r="Y76" s="77"/>
      <c r="Z76" s="77"/>
      <c r="AA76" s="77"/>
      <c r="AB76" s="77"/>
      <c r="AC76" s="77"/>
      <c r="AD76" s="77"/>
      <c r="AE76" s="77"/>
      <c r="AF76" s="77"/>
    </row>
    <row r="77" spans="1:32" ht="14.4" customHeight="1" x14ac:dyDescent="0.25">
      <c r="A77" s="77"/>
      <c r="B77" s="77"/>
      <c r="C77" s="77"/>
      <c r="D77" s="77"/>
      <c r="E77" s="77"/>
      <c r="F77" s="77"/>
      <c r="G77" s="77"/>
      <c r="H77" s="176"/>
      <c r="I77" s="77"/>
      <c r="J77" s="90"/>
      <c r="K77" s="91"/>
      <c r="L77" s="91"/>
      <c r="M77" s="77"/>
      <c r="N77" s="77"/>
      <c r="O77" s="77"/>
      <c r="P77" s="77"/>
      <c r="Q77" s="77"/>
      <c r="R77" s="77"/>
      <c r="S77" s="77"/>
      <c r="T77" s="95"/>
      <c r="U77" s="95"/>
      <c r="V77" s="95"/>
      <c r="W77" s="77"/>
      <c r="X77" s="77"/>
      <c r="Y77" s="77"/>
      <c r="Z77" s="77"/>
      <c r="AA77" s="77"/>
      <c r="AB77" s="77"/>
      <c r="AC77" s="77"/>
      <c r="AD77" s="77"/>
      <c r="AE77" s="77"/>
      <c r="AF77" s="77"/>
    </row>
    <row r="78" spans="1:32" ht="14.4" customHeight="1" x14ac:dyDescent="0.25">
      <c r="A78" s="77"/>
      <c r="B78" s="77"/>
      <c r="C78" s="77"/>
      <c r="D78" s="77"/>
      <c r="E78" s="77"/>
      <c r="F78" s="77"/>
      <c r="G78" s="77"/>
      <c r="H78" s="176"/>
      <c r="I78" s="77"/>
      <c r="J78" s="90"/>
      <c r="K78" s="91"/>
      <c r="L78" s="91"/>
      <c r="M78" s="77"/>
      <c r="N78" s="77"/>
      <c r="O78" s="77"/>
      <c r="P78" s="77"/>
      <c r="Q78" s="77"/>
      <c r="R78" s="77"/>
      <c r="S78" s="77"/>
      <c r="T78" s="95"/>
      <c r="U78" s="95"/>
      <c r="V78" s="95"/>
      <c r="W78" s="77"/>
      <c r="X78" s="77"/>
      <c r="Y78" s="77"/>
      <c r="Z78" s="77"/>
      <c r="AA78" s="77"/>
      <c r="AB78" s="77"/>
      <c r="AC78" s="77"/>
      <c r="AD78" s="77"/>
      <c r="AE78" s="77"/>
      <c r="AF78" s="77"/>
    </row>
    <row r="79" spans="1:32" ht="14.4" customHeight="1" x14ac:dyDescent="0.25">
      <c r="A79" s="77"/>
      <c r="B79" s="77"/>
      <c r="C79" s="77"/>
      <c r="D79" s="77"/>
      <c r="E79" s="77"/>
      <c r="F79" s="77"/>
      <c r="G79" s="77"/>
      <c r="H79" s="176"/>
      <c r="I79" s="77"/>
      <c r="J79" s="90"/>
      <c r="K79" s="91"/>
      <c r="L79" s="91"/>
      <c r="M79" s="77"/>
      <c r="N79" s="77"/>
      <c r="O79" s="77"/>
      <c r="P79" s="77"/>
      <c r="Q79" s="77"/>
      <c r="R79" s="77"/>
      <c r="S79" s="77"/>
      <c r="T79" s="95"/>
      <c r="U79" s="95"/>
      <c r="V79" s="95"/>
      <c r="W79" s="77"/>
      <c r="X79" s="77"/>
      <c r="Y79" s="77"/>
      <c r="Z79" s="77"/>
      <c r="AA79" s="77"/>
      <c r="AB79" s="77"/>
      <c r="AC79" s="77"/>
      <c r="AD79" s="77"/>
      <c r="AE79" s="77"/>
      <c r="AF79" s="77"/>
    </row>
    <row r="80" spans="1:32" ht="14.4" customHeight="1" x14ac:dyDescent="0.25">
      <c r="A80" s="77"/>
      <c r="B80" s="77"/>
      <c r="C80" s="77"/>
      <c r="D80" s="77"/>
      <c r="E80" s="77"/>
      <c r="F80" s="77"/>
      <c r="G80" s="77"/>
      <c r="H80" s="176"/>
      <c r="I80" s="77"/>
      <c r="J80" s="90"/>
      <c r="K80" s="91"/>
      <c r="L80" s="91"/>
      <c r="M80" s="77"/>
      <c r="N80" s="77"/>
      <c r="O80" s="77"/>
      <c r="P80" s="77"/>
      <c r="Q80" s="77"/>
      <c r="R80" s="77"/>
      <c r="S80" s="77"/>
      <c r="T80" s="95"/>
      <c r="U80" s="95"/>
      <c r="V80" s="95"/>
      <c r="W80" s="77"/>
      <c r="X80" s="77"/>
      <c r="Y80" s="77"/>
      <c r="Z80" s="77"/>
      <c r="AA80" s="77"/>
      <c r="AB80" s="77"/>
      <c r="AC80" s="77"/>
      <c r="AD80" s="77"/>
      <c r="AE80" s="77"/>
      <c r="AF80" s="77"/>
    </row>
    <row r="81" spans="1:32" ht="14.4" customHeight="1" x14ac:dyDescent="0.25">
      <c r="A81" s="77"/>
      <c r="B81" s="77"/>
      <c r="C81" s="77"/>
      <c r="D81" s="77"/>
      <c r="E81" s="77"/>
      <c r="F81" s="77"/>
      <c r="G81" s="77"/>
      <c r="H81" s="176"/>
      <c r="I81" s="77"/>
      <c r="J81" s="90"/>
      <c r="K81" s="91"/>
      <c r="L81" s="91"/>
      <c r="M81" s="77"/>
      <c r="N81" s="77"/>
      <c r="O81" s="77"/>
      <c r="P81" s="77"/>
      <c r="Q81" s="77"/>
      <c r="R81" s="77"/>
      <c r="S81" s="77"/>
      <c r="T81" s="95"/>
      <c r="U81" s="95"/>
      <c r="V81" s="95"/>
      <c r="W81" s="77"/>
      <c r="X81" s="77"/>
      <c r="Y81" s="77"/>
      <c r="Z81" s="77"/>
      <c r="AA81" s="77"/>
      <c r="AB81" s="77"/>
      <c r="AC81" s="77"/>
      <c r="AD81" s="77"/>
      <c r="AE81" s="77"/>
      <c r="AF81" s="77"/>
    </row>
    <row r="82" spans="1:32" ht="14.4" customHeight="1" x14ac:dyDescent="0.25">
      <c r="A82" s="77"/>
      <c r="B82" s="77"/>
      <c r="C82" s="77"/>
      <c r="D82" s="77"/>
      <c r="E82" s="77"/>
      <c r="F82" s="77"/>
      <c r="G82" s="77"/>
      <c r="H82" s="176"/>
      <c r="I82" s="77"/>
      <c r="J82" s="90"/>
      <c r="K82" s="91"/>
      <c r="L82" s="91"/>
      <c r="M82" s="77"/>
      <c r="N82" s="77"/>
      <c r="O82" s="77"/>
      <c r="P82" s="77"/>
      <c r="Q82" s="77"/>
      <c r="R82" s="77"/>
      <c r="S82" s="77"/>
      <c r="T82" s="95"/>
      <c r="U82" s="95"/>
      <c r="V82" s="95"/>
      <c r="W82" s="77"/>
      <c r="X82" s="77"/>
      <c r="Y82" s="77"/>
      <c r="Z82" s="77"/>
      <c r="AA82" s="77"/>
      <c r="AB82" s="77"/>
      <c r="AC82" s="77"/>
      <c r="AD82" s="77"/>
      <c r="AE82" s="77"/>
      <c r="AF82" s="77"/>
    </row>
    <row r="83" spans="1:32" ht="14.4" customHeight="1" x14ac:dyDescent="0.25">
      <c r="A83" s="77"/>
      <c r="B83" s="77"/>
      <c r="C83" s="77"/>
      <c r="D83" s="77"/>
      <c r="E83" s="77"/>
      <c r="F83" s="77"/>
      <c r="G83" s="77"/>
      <c r="H83" s="176"/>
      <c r="I83" s="77"/>
      <c r="J83" s="90"/>
      <c r="K83" s="91"/>
      <c r="L83" s="91"/>
      <c r="M83" s="77"/>
      <c r="N83" s="77"/>
      <c r="O83" s="77"/>
      <c r="P83" s="77"/>
      <c r="Q83" s="77"/>
      <c r="R83" s="77"/>
      <c r="S83" s="77"/>
      <c r="T83" s="95"/>
      <c r="U83" s="95"/>
      <c r="V83" s="95"/>
      <c r="W83" s="77"/>
      <c r="X83" s="77"/>
      <c r="Y83" s="77"/>
      <c r="Z83" s="77"/>
      <c r="AA83" s="77"/>
      <c r="AB83" s="77"/>
      <c r="AC83" s="77"/>
      <c r="AD83" s="77"/>
      <c r="AE83" s="77"/>
      <c r="AF83" s="77"/>
    </row>
    <row r="84" spans="1:32" ht="14.4" customHeight="1" x14ac:dyDescent="0.25">
      <c r="A84" s="77"/>
      <c r="B84" s="77"/>
      <c r="C84" s="77"/>
      <c r="D84" s="77"/>
      <c r="E84" s="77"/>
      <c r="F84" s="77"/>
      <c r="G84" s="77"/>
      <c r="H84" s="176"/>
      <c r="I84" s="77"/>
      <c r="J84" s="90"/>
      <c r="K84" s="91"/>
      <c r="L84" s="91"/>
      <c r="M84" s="77"/>
      <c r="N84" s="77"/>
      <c r="O84" s="77"/>
      <c r="P84" s="77"/>
      <c r="Q84" s="77"/>
      <c r="R84" s="77"/>
      <c r="S84" s="77"/>
      <c r="T84" s="95"/>
      <c r="U84" s="95"/>
      <c r="V84" s="95"/>
      <c r="W84" s="77"/>
      <c r="X84" s="77"/>
      <c r="Y84" s="77"/>
      <c r="Z84" s="77"/>
      <c r="AA84" s="77"/>
      <c r="AB84" s="77"/>
      <c r="AC84" s="77"/>
      <c r="AD84" s="77"/>
      <c r="AE84" s="77"/>
      <c r="AF84" s="77"/>
    </row>
    <row r="85" spans="1:32" ht="14.4" customHeight="1" x14ac:dyDescent="0.25">
      <c r="A85" s="77"/>
      <c r="B85" s="77"/>
      <c r="C85" s="77"/>
      <c r="D85" s="77"/>
      <c r="E85" s="77"/>
      <c r="F85" s="77"/>
      <c r="G85" s="77"/>
      <c r="H85" s="176"/>
      <c r="I85" s="77"/>
      <c r="J85" s="90"/>
      <c r="K85" s="91"/>
      <c r="L85" s="91"/>
      <c r="M85" s="77"/>
      <c r="N85" s="77"/>
      <c r="O85" s="77"/>
      <c r="P85" s="77"/>
      <c r="Q85" s="77"/>
      <c r="R85" s="77"/>
      <c r="S85" s="77"/>
      <c r="T85" s="95"/>
      <c r="U85" s="95"/>
      <c r="V85" s="95"/>
      <c r="W85" s="77"/>
      <c r="X85" s="77"/>
      <c r="Y85" s="77"/>
      <c r="Z85" s="77"/>
      <c r="AA85" s="77"/>
      <c r="AB85" s="77"/>
      <c r="AC85" s="77"/>
      <c r="AD85" s="77"/>
      <c r="AE85" s="77"/>
      <c r="AF85" s="77"/>
    </row>
    <row r="86" spans="1:32" ht="14.4" customHeight="1" x14ac:dyDescent="0.25">
      <c r="A86" s="77"/>
      <c r="B86" s="77"/>
      <c r="C86" s="77"/>
      <c r="D86" s="77"/>
      <c r="E86" s="77"/>
      <c r="F86" s="77"/>
      <c r="G86" s="77"/>
      <c r="H86" s="176"/>
      <c r="I86" s="77"/>
      <c r="J86" s="90"/>
      <c r="K86" s="91"/>
      <c r="L86" s="91"/>
      <c r="M86" s="77"/>
      <c r="N86" s="77"/>
      <c r="O86" s="77"/>
      <c r="P86" s="77"/>
      <c r="Q86" s="77"/>
      <c r="R86" s="77"/>
      <c r="S86" s="77"/>
      <c r="T86" s="95"/>
      <c r="U86" s="95"/>
      <c r="V86" s="95"/>
      <c r="W86" s="77"/>
      <c r="X86" s="77"/>
      <c r="Y86" s="77"/>
      <c r="Z86" s="77"/>
      <c r="AA86" s="77"/>
      <c r="AB86" s="77"/>
      <c r="AC86" s="77"/>
      <c r="AD86" s="77"/>
      <c r="AE86" s="77"/>
      <c r="AF86" s="77"/>
    </row>
    <row r="87" spans="1:32" ht="14.4" customHeight="1" x14ac:dyDescent="0.25">
      <c r="A87" s="77"/>
      <c r="B87" s="77"/>
      <c r="C87" s="77"/>
      <c r="D87" s="77"/>
      <c r="E87" s="77"/>
      <c r="F87" s="77"/>
      <c r="G87" s="77"/>
      <c r="H87" s="176"/>
      <c r="I87" s="77"/>
      <c r="J87" s="90"/>
      <c r="K87" s="91"/>
      <c r="L87" s="91"/>
      <c r="M87" s="77"/>
      <c r="N87" s="77"/>
      <c r="O87" s="77"/>
      <c r="P87" s="77"/>
      <c r="Q87" s="77"/>
      <c r="R87" s="77"/>
      <c r="S87" s="77"/>
      <c r="T87" s="95"/>
      <c r="U87" s="95"/>
      <c r="V87" s="95"/>
      <c r="W87" s="77"/>
      <c r="X87" s="77"/>
      <c r="Y87" s="77"/>
      <c r="Z87" s="77"/>
      <c r="AA87" s="77"/>
      <c r="AB87" s="77"/>
      <c r="AC87" s="77"/>
      <c r="AD87" s="77"/>
      <c r="AE87" s="77"/>
      <c r="AF87" s="77"/>
    </row>
    <row r="88" spans="1:32" ht="14.4" customHeight="1" x14ac:dyDescent="0.25">
      <c r="A88" s="77"/>
      <c r="B88" s="77"/>
      <c r="C88" s="77"/>
      <c r="D88" s="77"/>
      <c r="E88" s="77"/>
      <c r="F88" s="77"/>
      <c r="G88" s="77"/>
      <c r="H88" s="176"/>
      <c r="I88" s="77"/>
      <c r="J88" s="90"/>
      <c r="K88" s="91"/>
      <c r="L88" s="91"/>
      <c r="M88" s="77"/>
      <c r="N88" s="77"/>
      <c r="O88" s="77"/>
      <c r="P88" s="77"/>
      <c r="Q88" s="77"/>
      <c r="R88" s="77"/>
      <c r="S88" s="77"/>
      <c r="T88" s="95"/>
      <c r="U88" s="95"/>
      <c r="V88" s="95"/>
      <c r="W88" s="77"/>
      <c r="X88" s="77"/>
      <c r="Y88" s="77"/>
      <c r="Z88" s="77"/>
      <c r="AA88" s="77"/>
      <c r="AB88" s="77"/>
      <c r="AC88" s="77"/>
      <c r="AD88" s="77"/>
      <c r="AE88" s="77"/>
      <c r="AF88" s="77"/>
    </row>
    <row r="89" spans="1:32" ht="14.4" customHeight="1" x14ac:dyDescent="0.25">
      <c r="A89" s="77"/>
      <c r="B89" s="77"/>
      <c r="C89" s="77"/>
      <c r="D89" s="77"/>
      <c r="E89" s="77"/>
      <c r="F89" s="77"/>
      <c r="G89" s="77"/>
      <c r="H89" s="176"/>
      <c r="I89" s="77"/>
      <c r="J89" s="90"/>
      <c r="K89" s="91"/>
      <c r="L89" s="91"/>
      <c r="M89" s="77"/>
      <c r="N89" s="77"/>
      <c r="O89" s="77"/>
      <c r="P89" s="77"/>
      <c r="Q89" s="77"/>
      <c r="R89" s="77"/>
      <c r="S89" s="77"/>
      <c r="T89" s="95"/>
      <c r="U89" s="95"/>
      <c r="V89" s="95"/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 spans="1:32" ht="14.4" customHeight="1" x14ac:dyDescent="0.25">
      <c r="A90" s="77"/>
      <c r="B90" s="77"/>
      <c r="C90" s="77"/>
      <c r="D90" s="77"/>
      <c r="E90" s="77"/>
      <c r="F90" s="77"/>
      <c r="G90" s="77"/>
      <c r="H90" s="176"/>
      <c r="I90" s="77"/>
      <c r="J90" s="90"/>
      <c r="K90" s="91"/>
      <c r="L90" s="91"/>
      <c r="M90" s="77"/>
      <c r="N90" s="77"/>
      <c r="O90" s="77"/>
      <c r="P90" s="77"/>
      <c r="Q90" s="77"/>
      <c r="R90" s="77"/>
      <c r="S90" s="77"/>
      <c r="T90" s="95"/>
      <c r="U90" s="95"/>
      <c r="V90" s="95"/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 spans="1:32" ht="14.4" customHeight="1" x14ac:dyDescent="0.25">
      <c r="A91" s="77"/>
      <c r="B91" s="77"/>
      <c r="C91" s="77"/>
      <c r="D91" s="77"/>
      <c r="E91" s="77"/>
      <c r="F91" s="77"/>
      <c r="G91" s="77"/>
      <c r="H91" s="176"/>
      <c r="I91" s="77"/>
      <c r="J91" s="90"/>
      <c r="K91" s="91"/>
      <c r="L91" s="91"/>
      <c r="M91" s="77"/>
      <c r="N91" s="77"/>
      <c r="O91" s="77"/>
      <c r="P91" s="77"/>
      <c r="Q91" s="77"/>
      <c r="R91" s="77"/>
      <c r="S91" s="77"/>
      <c r="T91" s="95"/>
      <c r="U91" s="95"/>
      <c r="V91" s="95"/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 spans="1:32" ht="14.4" customHeight="1" x14ac:dyDescent="0.25">
      <c r="A92" s="77"/>
      <c r="B92" s="77"/>
      <c r="C92" s="77"/>
      <c r="D92" s="77"/>
      <c r="E92" s="77"/>
      <c r="F92" s="77"/>
      <c r="G92" s="77"/>
      <c r="H92" s="176"/>
      <c r="I92" s="77"/>
      <c r="J92" s="90"/>
      <c r="K92" s="91"/>
      <c r="L92" s="91"/>
      <c r="M92" s="77"/>
      <c r="N92" s="77"/>
      <c r="O92" s="77"/>
      <c r="P92" s="77"/>
      <c r="Q92" s="77"/>
      <c r="R92" s="77"/>
      <c r="S92" s="77"/>
      <c r="T92" s="95"/>
      <c r="U92" s="95"/>
      <c r="V92" s="95"/>
      <c r="W92" s="77"/>
      <c r="X92" s="77"/>
      <c r="Y92" s="77"/>
      <c r="Z92" s="77"/>
      <c r="AA92" s="77"/>
      <c r="AB92" s="77"/>
      <c r="AC92" s="77"/>
      <c r="AD92" s="77"/>
      <c r="AE92" s="77"/>
      <c r="AF92" s="77"/>
    </row>
    <row r="93" spans="1:32" ht="14.4" customHeight="1" x14ac:dyDescent="0.25">
      <c r="A93" s="77"/>
      <c r="B93" s="77"/>
      <c r="C93" s="77"/>
      <c r="D93" s="77"/>
      <c r="E93" s="77"/>
      <c r="F93" s="77"/>
      <c r="G93" s="77"/>
      <c r="H93" s="176"/>
      <c r="I93" s="77"/>
      <c r="J93" s="90"/>
      <c r="K93" s="91"/>
      <c r="L93" s="91"/>
      <c r="M93" s="77"/>
      <c r="N93" s="77"/>
      <c r="O93" s="77"/>
      <c r="P93" s="77"/>
      <c r="Q93" s="77"/>
      <c r="R93" s="77"/>
      <c r="S93" s="77"/>
      <c r="T93" s="95"/>
      <c r="U93" s="95"/>
      <c r="V93" s="95"/>
      <c r="W93" s="77"/>
      <c r="X93" s="77"/>
      <c r="Y93" s="77"/>
      <c r="Z93" s="77"/>
      <c r="AA93" s="77"/>
      <c r="AB93" s="77"/>
      <c r="AC93" s="77"/>
      <c r="AD93" s="77"/>
      <c r="AE93" s="77"/>
      <c r="AF93" s="77"/>
    </row>
    <row r="94" spans="1:32" ht="14.4" customHeight="1" x14ac:dyDescent="0.25">
      <c r="A94" s="77"/>
      <c r="B94" s="77"/>
      <c r="C94" s="77"/>
      <c r="D94" s="77"/>
      <c r="E94" s="77"/>
      <c r="F94" s="77"/>
      <c r="G94" s="77"/>
      <c r="H94" s="176"/>
      <c r="I94" s="77"/>
      <c r="J94" s="90"/>
      <c r="K94" s="91"/>
      <c r="L94" s="91"/>
      <c r="M94" s="77"/>
      <c r="N94" s="77"/>
      <c r="O94" s="77"/>
      <c r="P94" s="77"/>
      <c r="Q94" s="77"/>
      <c r="R94" s="77"/>
      <c r="S94" s="77"/>
      <c r="T94" s="95"/>
      <c r="U94" s="95"/>
      <c r="V94" s="95"/>
      <c r="W94" s="77"/>
      <c r="X94" s="77"/>
      <c r="Y94" s="77"/>
      <c r="Z94" s="77"/>
      <c r="AA94" s="77"/>
      <c r="AB94" s="77"/>
      <c r="AC94" s="77"/>
      <c r="AD94" s="77"/>
      <c r="AE94" s="77"/>
      <c r="AF94" s="77"/>
    </row>
    <row r="95" spans="1:32" ht="14.4" customHeight="1" x14ac:dyDescent="0.25">
      <c r="A95" s="77"/>
      <c r="B95" s="77"/>
      <c r="C95" s="77"/>
      <c r="D95" s="77"/>
      <c r="E95" s="77"/>
      <c r="F95" s="77"/>
      <c r="G95" s="77"/>
      <c r="H95" s="176"/>
      <c r="I95" s="77"/>
      <c r="J95" s="90"/>
      <c r="K95" s="91"/>
      <c r="L95" s="91"/>
      <c r="M95" s="77"/>
      <c r="N95" s="77"/>
      <c r="O95" s="77"/>
      <c r="P95" s="77"/>
      <c r="Q95" s="77"/>
      <c r="R95" s="77"/>
      <c r="S95" s="77"/>
      <c r="T95" s="95"/>
      <c r="U95" s="95"/>
      <c r="V95" s="95"/>
      <c r="W95" s="77"/>
      <c r="X95" s="77"/>
      <c r="Y95" s="77"/>
      <c r="Z95" s="77"/>
      <c r="AA95" s="77"/>
      <c r="AB95" s="77"/>
      <c r="AC95" s="77"/>
      <c r="AD95" s="77"/>
      <c r="AE95" s="77"/>
      <c r="AF95" s="77"/>
    </row>
    <row r="96" spans="1:32" ht="14.4" customHeight="1" x14ac:dyDescent="0.25">
      <c r="A96" s="77"/>
      <c r="B96" s="77"/>
      <c r="C96" s="77"/>
      <c r="D96" s="77"/>
      <c r="E96" s="77"/>
      <c r="F96" s="77"/>
      <c r="G96" s="77"/>
      <c r="H96" s="176"/>
      <c r="I96" s="77"/>
      <c r="J96" s="90"/>
      <c r="K96" s="91"/>
      <c r="L96" s="91"/>
      <c r="M96" s="77"/>
      <c r="N96" s="77"/>
      <c r="O96" s="77"/>
      <c r="P96" s="77"/>
      <c r="Q96" s="77"/>
      <c r="R96" s="77"/>
      <c r="S96" s="77"/>
      <c r="T96" s="95"/>
      <c r="U96" s="95"/>
      <c r="V96" s="95"/>
      <c r="W96" s="77"/>
      <c r="X96" s="77"/>
      <c r="Y96" s="77"/>
      <c r="Z96" s="77"/>
      <c r="AA96" s="77"/>
      <c r="AB96" s="77"/>
      <c r="AC96" s="77"/>
      <c r="AD96" s="77"/>
      <c r="AE96" s="77"/>
      <c r="AF96" s="77"/>
    </row>
    <row r="97" spans="1:32" ht="14.4" customHeight="1" x14ac:dyDescent="0.25">
      <c r="A97" s="77"/>
      <c r="B97" s="77"/>
      <c r="C97" s="77"/>
      <c r="D97" s="77"/>
      <c r="E97" s="77"/>
      <c r="F97" s="77"/>
      <c r="G97" s="77"/>
      <c r="H97" s="176"/>
      <c r="I97" s="77"/>
      <c r="J97" s="90"/>
      <c r="K97" s="91"/>
      <c r="L97" s="91"/>
      <c r="M97" s="77"/>
      <c r="N97" s="77"/>
      <c r="O97" s="77"/>
      <c r="P97" s="77"/>
      <c r="Q97" s="77"/>
      <c r="R97" s="77"/>
      <c r="S97" s="77"/>
      <c r="T97" s="95"/>
      <c r="U97" s="95"/>
      <c r="V97" s="95"/>
      <c r="W97" s="77"/>
      <c r="X97" s="77"/>
      <c r="Y97" s="77"/>
      <c r="Z97" s="77"/>
      <c r="AA97" s="77"/>
      <c r="AB97" s="77"/>
      <c r="AC97" s="77"/>
      <c r="AD97" s="77"/>
      <c r="AE97" s="77"/>
      <c r="AF97" s="77"/>
    </row>
    <row r="98" spans="1:32" ht="14.4" customHeight="1" x14ac:dyDescent="0.25">
      <c r="A98" s="77"/>
      <c r="B98" s="77"/>
      <c r="C98" s="77"/>
      <c r="D98" s="77"/>
      <c r="E98" s="77"/>
      <c r="F98" s="77"/>
      <c r="G98" s="77"/>
      <c r="H98" s="176"/>
      <c r="I98" s="77"/>
      <c r="J98" s="90"/>
      <c r="K98" s="91"/>
      <c r="L98" s="91"/>
      <c r="M98" s="77"/>
      <c r="N98" s="77"/>
      <c r="O98" s="77"/>
      <c r="P98" s="77"/>
      <c r="Q98" s="77"/>
      <c r="R98" s="77"/>
      <c r="S98" s="77"/>
      <c r="T98" s="95"/>
      <c r="U98" s="95"/>
      <c r="V98" s="95"/>
      <c r="W98" s="77"/>
      <c r="X98" s="77"/>
      <c r="Y98" s="77"/>
      <c r="Z98" s="77"/>
      <c r="AA98" s="77"/>
      <c r="AB98" s="77"/>
      <c r="AC98" s="77"/>
      <c r="AD98" s="77"/>
      <c r="AE98" s="77"/>
      <c r="AF98" s="77"/>
    </row>
    <row r="99" spans="1:32" ht="14.4" customHeight="1" x14ac:dyDescent="0.25">
      <c r="A99" s="77"/>
      <c r="B99" s="77"/>
      <c r="C99" s="77"/>
      <c r="D99" s="77"/>
      <c r="E99" s="77"/>
      <c r="F99" s="77"/>
      <c r="G99" s="77"/>
      <c r="H99" s="176"/>
      <c r="I99" s="77"/>
      <c r="J99" s="90"/>
      <c r="K99" s="91"/>
      <c r="L99" s="91"/>
      <c r="M99" s="77"/>
      <c r="N99" s="77"/>
      <c r="O99" s="77"/>
      <c r="P99" s="77"/>
      <c r="Q99" s="77"/>
      <c r="R99" s="77"/>
      <c r="S99" s="77"/>
      <c r="T99" s="95"/>
      <c r="U99" s="95"/>
      <c r="V99" s="95"/>
      <c r="W99" s="77"/>
      <c r="X99" s="77"/>
      <c r="Y99" s="77"/>
      <c r="Z99" s="77"/>
      <c r="AA99" s="77"/>
      <c r="AB99" s="77"/>
      <c r="AC99" s="77"/>
      <c r="AD99" s="77"/>
      <c r="AE99" s="77"/>
      <c r="AF99" s="77"/>
    </row>
    <row r="100" spans="1:32" ht="14.4" customHeight="1" x14ac:dyDescent="0.25">
      <c r="A100" s="77"/>
      <c r="B100" s="77"/>
      <c r="C100" s="77"/>
      <c r="D100" s="77"/>
      <c r="E100" s="77"/>
      <c r="F100" s="77"/>
      <c r="G100" s="77"/>
      <c r="H100" s="176"/>
      <c r="I100" s="77"/>
      <c r="J100" s="90"/>
      <c r="K100" s="91"/>
      <c r="L100" s="91"/>
      <c r="M100" s="77"/>
      <c r="N100" s="77"/>
      <c r="O100" s="77"/>
      <c r="P100" s="77"/>
      <c r="Q100" s="77"/>
      <c r="R100" s="77"/>
      <c r="S100" s="77"/>
      <c r="T100" s="95"/>
      <c r="U100" s="95"/>
      <c r="V100" s="95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</row>
    <row r="101" spans="1:32" ht="14.4" customHeight="1" x14ac:dyDescent="0.25">
      <c r="A101" s="77"/>
      <c r="B101" s="77"/>
      <c r="C101" s="77"/>
      <c r="D101" s="77"/>
      <c r="E101" s="77"/>
      <c r="F101" s="77"/>
      <c r="G101" s="77"/>
      <c r="H101" s="176"/>
      <c r="I101" s="77"/>
      <c r="J101" s="90"/>
      <c r="K101" s="91"/>
      <c r="L101" s="91"/>
      <c r="M101" s="77"/>
      <c r="N101" s="77"/>
      <c r="O101" s="77"/>
      <c r="P101" s="77"/>
      <c r="Q101" s="77"/>
      <c r="R101" s="77"/>
      <c r="S101" s="77"/>
      <c r="T101" s="95"/>
      <c r="U101" s="95"/>
      <c r="V101" s="95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 spans="1:32" ht="14.4" customHeight="1" x14ac:dyDescent="0.25">
      <c r="A102" s="77"/>
      <c r="B102" s="77"/>
      <c r="C102" s="77"/>
      <c r="D102" s="77"/>
      <c r="E102" s="77"/>
      <c r="F102" s="77"/>
      <c r="G102" s="77"/>
      <c r="H102" s="176"/>
      <c r="I102" s="77"/>
      <c r="J102" s="90"/>
      <c r="K102" s="91"/>
      <c r="L102" s="91"/>
      <c r="M102" s="77"/>
      <c r="N102" s="77"/>
      <c r="O102" s="77"/>
      <c r="P102" s="77"/>
      <c r="Q102" s="77"/>
      <c r="R102" s="77"/>
      <c r="S102" s="77"/>
      <c r="T102" s="95"/>
      <c r="U102" s="95"/>
      <c r="V102" s="95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 spans="1:32" ht="14.4" customHeight="1" x14ac:dyDescent="0.25">
      <c r="A103" s="77"/>
      <c r="B103" s="77"/>
      <c r="C103" s="77"/>
      <c r="D103" s="77"/>
      <c r="E103" s="77"/>
      <c r="F103" s="77"/>
      <c r="G103" s="77"/>
      <c r="H103" s="176"/>
      <c r="I103" s="77"/>
      <c r="J103" s="90"/>
      <c r="K103" s="91"/>
      <c r="L103" s="91"/>
      <c r="M103" s="77"/>
      <c r="N103" s="77"/>
      <c r="O103" s="77"/>
      <c r="P103" s="77"/>
      <c r="Q103" s="77"/>
      <c r="R103" s="77"/>
      <c r="S103" s="77"/>
      <c r="T103" s="95"/>
      <c r="U103" s="95"/>
      <c r="V103" s="95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</row>
    <row r="104" spans="1:32" ht="14.4" customHeight="1" x14ac:dyDescent="0.25">
      <c r="A104" s="77"/>
      <c r="B104" s="77"/>
      <c r="C104" s="77"/>
      <c r="D104" s="77"/>
      <c r="E104" s="77"/>
      <c r="F104" s="77"/>
      <c r="G104" s="77"/>
      <c r="H104" s="176"/>
      <c r="I104" s="77"/>
      <c r="J104" s="90"/>
      <c r="K104" s="91"/>
      <c r="L104" s="91"/>
      <c r="M104" s="77"/>
      <c r="N104" s="77"/>
      <c r="O104" s="77"/>
      <c r="P104" s="77"/>
      <c r="Q104" s="77"/>
      <c r="R104" s="77"/>
      <c r="S104" s="77"/>
      <c r="T104" s="95"/>
      <c r="U104" s="95"/>
      <c r="V104" s="95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 spans="1:32" ht="14.4" customHeight="1" x14ac:dyDescent="0.25">
      <c r="A105" s="77"/>
      <c r="B105" s="77"/>
      <c r="C105" s="77"/>
      <c r="D105" s="77"/>
      <c r="E105" s="77"/>
      <c r="F105" s="77"/>
      <c r="G105" s="77"/>
      <c r="H105" s="176"/>
      <c r="I105" s="77"/>
      <c r="J105" s="90"/>
      <c r="K105" s="91"/>
      <c r="L105" s="91"/>
      <c r="M105" s="77"/>
      <c r="N105" s="77"/>
      <c r="O105" s="77"/>
      <c r="P105" s="77"/>
      <c r="Q105" s="77"/>
      <c r="R105" s="77"/>
      <c r="S105" s="77"/>
      <c r="T105" s="95"/>
      <c r="U105" s="95"/>
      <c r="V105" s="95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 spans="1:32" ht="14.4" customHeight="1" x14ac:dyDescent="0.25">
      <c r="A106" s="77"/>
      <c r="B106" s="77"/>
      <c r="C106" s="77"/>
      <c r="D106" s="77"/>
      <c r="E106" s="77"/>
      <c r="F106" s="77"/>
      <c r="G106" s="77"/>
      <c r="H106" s="176"/>
      <c r="I106" s="77"/>
      <c r="J106" s="90"/>
      <c r="K106" s="91"/>
      <c r="L106" s="91"/>
      <c r="M106" s="77"/>
      <c r="N106" s="77"/>
      <c r="O106" s="77"/>
      <c r="P106" s="77"/>
      <c r="Q106" s="77"/>
      <c r="R106" s="77"/>
      <c r="S106" s="77"/>
      <c r="T106" s="95"/>
      <c r="U106" s="95"/>
      <c r="V106" s="95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 spans="1:32" ht="14.4" customHeight="1" x14ac:dyDescent="0.25">
      <c r="A107" s="77"/>
      <c r="B107" s="77"/>
      <c r="C107" s="77"/>
      <c r="D107" s="77"/>
      <c r="E107" s="77"/>
      <c r="F107" s="77"/>
      <c r="G107" s="77"/>
      <c r="H107" s="176"/>
      <c r="I107" s="77"/>
      <c r="J107" s="90"/>
      <c r="K107" s="91"/>
      <c r="L107" s="91"/>
      <c r="M107" s="77"/>
      <c r="N107" s="77"/>
      <c r="O107" s="77"/>
      <c r="P107" s="77"/>
      <c r="Q107" s="77"/>
      <c r="R107" s="77"/>
      <c r="S107" s="77"/>
      <c r="T107" s="95"/>
      <c r="U107" s="95"/>
      <c r="V107" s="95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 spans="1:32" ht="14.4" customHeight="1" x14ac:dyDescent="0.25">
      <c r="A108" s="77"/>
      <c r="B108" s="77"/>
      <c r="C108" s="77"/>
      <c r="D108" s="77"/>
      <c r="E108" s="77"/>
      <c r="F108" s="77"/>
      <c r="G108" s="77"/>
      <c r="H108" s="176"/>
      <c r="I108" s="77"/>
      <c r="J108" s="90"/>
      <c r="K108" s="91"/>
      <c r="L108" s="91"/>
      <c r="M108" s="77"/>
      <c r="N108" s="77"/>
      <c r="O108" s="77"/>
      <c r="P108" s="77"/>
      <c r="Q108" s="77"/>
      <c r="R108" s="77"/>
      <c r="S108" s="77"/>
      <c r="T108" s="95"/>
      <c r="U108" s="95"/>
      <c r="V108" s="95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 spans="1:32" ht="14.4" customHeight="1" x14ac:dyDescent="0.25">
      <c r="A109" s="77"/>
      <c r="B109" s="77"/>
      <c r="C109" s="77"/>
      <c r="D109" s="77"/>
      <c r="E109" s="77"/>
      <c r="F109" s="77"/>
      <c r="G109" s="77"/>
      <c r="H109" s="176"/>
      <c r="I109" s="77"/>
      <c r="J109" s="90"/>
      <c r="K109" s="91"/>
      <c r="L109" s="91"/>
      <c r="M109" s="77"/>
      <c r="N109" s="77"/>
      <c r="O109" s="77"/>
      <c r="P109" s="77"/>
      <c r="Q109" s="77"/>
      <c r="R109" s="77"/>
      <c r="S109" s="77"/>
      <c r="T109" s="95"/>
      <c r="U109" s="95"/>
      <c r="V109" s="95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 spans="1:32" ht="14.4" customHeight="1" x14ac:dyDescent="0.25">
      <c r="A110" s="77"/>
      <c r="B110" s="77"/>
      <c r="C110" s="77"/>
      <c r="D110" s="77"/>
      <c r="E110" s="77"/>
      <c r="F110" s="77"/>
      <c r="G110" s="77"/>
      <c r="H110" s="176"/>
      <c r="I110" s="77"/>
      <c r="J110" s="90"/>
      <c r="K110" s="91"/>
      <c r="L110" s="91"/>
      <c r="M110" s="77"/>
      <c r="N110" s="77"/>
      <c r="O110" s="77"/>
      <c r="P110" s="77"/>
      <c r="Q110" s="77"/>
      <c r="R110" s="77"/>
      <c r="S110" s="77"/>
      <c r="T110" s="95"/>
      <c r="U110" s="95"/>
      <c r="V110" s="95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 spans="1:32" ht="14.4" customHeight="1" x14ac:dyDescent="0.25">
      <c r="A111" s="77"/>
      <c r="B111" s="77"/>
      <c r="C111" s="77"/>
      <c r="D111" s="77"/>
      <c r="E111" s="77"/>
      <c r="F111" s="77"/>
      <c r="G111" s="77"/>
      <c r="H111" s="176"/>
      <c r="I111" s="77"/>
      <c r="J111" s="90"/>
      <c r="K111" s="91"/>
      <c r="L111" s="91"/>
      <c r="M111" s="77"/>
      <c r="N111" s="77"/>
      <c r="O111" s="77"/>
      <c r="P111" s="77"/>
      <c r="Q111" s="77"/>
      <c r="R111" s="77"/>
      <c r="S111" s="77"/>
      <c r="T111" s="95"/>
      <c r="U111" s="95"/>
      <c r="V111" s="95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 spans="1:32" ht="14.4" customHeight="1" x14ac:dyDescent="0.25">
      <c r="A112" s="77"/>
      <c r="B112" s="77"/>
      <c r="C112" s="77"/>
      <c r="D112" s="77"/>
      <c r="E112" s="77"/>
      <c r="F112" s="77"/>
      <c r="G112" s="77"/>
      <c r="H112" s="176"/>
      <c r="I112" s="77"/>
      <c r="J112" s="90"/>
      <c r="K112" s="91"/>
      <c r="L112" s="91"/>
      <c r="M112" s="77"/>
      <c r="N112" s="77"/>
      <c r="O112" s="77"/>
      <c r="P112" s="77"/>
      <c r="Q112" s="77"/>
      <c r="R112" s="77"/>
      <c r="S112" s="77"/>
      <c r="T112" s="95"/>
      <c r="U112" s="95"/>
      <c r="V112" s="95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 spans="1:32" ht="14.4" customHeight="1" x14ac:dyDescent="0.25">
      <c r="A113" s="77"/>
      <c r="B113" s="77"/>
      <c r="C113" s="77"/>
      <c r="D113" s="77"/>
      <c r="E113" s="77"/>
      <c r="F113" s="77"/>
      <c r="G113" s="77"/>
      <c r="H113" s="176"/>
      <c r="I113" s="77"/>
      <c r="J113" s="90"/>
      <c r="K113" s="91"/>
      <c r="L113" s="91"/>
      <c r="M113" s="77"/>
      <c r="N113" s="77"/>
      <c r="O113" s="77"/>
      <c r="P113" s="77"/>
      <c r="Q113" s="77"/>
      <c r="R113" s="77"/>
      <c r="S113" s="77"/>
      <c r="T113" s="95"/>
      <c r="U113" s="95"/>
      <c r="V113" s="95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 spans="1:32" ht="14.4" customHeight="1" x14ac:dyDescent="0.25">
      <c r="A114" s="77"/>
      <c r="B114" s="77"/>
      <c r="C114" s="77"/>
      <c r="D114" s="77"/>
      <c r="E114" s="77"/>
      <c r="F114" s="77"/>
      <c r="G114" s="77"/>
      <c r="H114" s="176"/>
      <c r="I114" s="77"/>
      <c r="J114" s="90"/>
      <c r="K114" s="91"/>
      <c r="L114" s="91"/>
      <c r="M114" s="77"/>
      <c r="N114" s="77"/>
      <c r="O114" s="77"/>
      <c r="P114" s="77"/>
      <c r="Q114" s="77"/>
      <c r="R114" s="77"/>
      <c r="S114" s="77"/>
      <c r="T114" s="95"/>
      <c r="U114" s="95"/>
      <c r="V114" s="95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 spans="1:32" ht="14.4" customHeight="1" x14ac:dyDescent="0.25">
      <c r="A115" s="77"/>
      <c r="B115" s="77"/>
      <c r="C115" s="77"/>
      <c r="D115" s="77"/>
      <c r="E115" s="77"/>
      <c r="F115" s="77"/>
      <c r="G115" s="77"/>
      <c r="H115" s="176"/>
      <c r="I115" s="77"/>
      <c r="J115" s="90"/>
      <c r="K115" s="91"/>
      <c r="L115" s="91"/>
      <c r="M115" s="77"/>
      <c r="N115" s="77"/>
      <c r="O115" s="77"/>
      <c r="P115" s="77"/>
      <c r="Q115" s="77"/>
      <c r="R115" s="77"/>
      <c r="S115" s="77"/>
      <c r="T115" s="95"/>
      <c r="U115" s="95"/>
      <c r="V115" s="95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 spans="1:32" ht="14.4" customHeight="1" x14ac:dyDescent="0.25">
      <c r="A116" s="77"/>
      <c r="B116" s="77"/>
      <c r="C116" s="77"/>
      <c r="D116" s="77"/>
      <c r="E116" s="77"/>
      <c r="F116" s="77"/>
      <c r="G116" s="77"/>
      <c r="H116" s="176"/>
      <c r="I116" s="77"/>
      <c r="J116" s="90"/>
      <c r="K116" s="91"/>
      <c r="L116" s="91"/>
      <c r="M116" s="77"/>
      <c r="N116" s="77"/>
      <c r="O116" s="77"/>
      <c r="P116" s="77"/>
      <c r="Q116" s="77"/>
      <c r="R116" s="77"/>
      <c r="S116" s="77"/>
      <c r="T116" s="95"/>
      <c r="U116" s="95"/>
      <c r="V116" s="95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 spans="1:32" ht="14.4" customHeight="1" x14ac:dyDescent="0.25">
      <c r="A117" s="77"/>
      <c r="B117" s="77"/>
      <c r="C117" s="77"/>
      <c r="D117" s="77"/>
      <c r="E117" s="77"/>
      <c r="F117" s="77"/>
      <c r="G117" s="77"/>
      <c r="H117" s="176"/>
      <c r="I117" s="77"/>
      <c r="J117" s="90"/>
      <c r="K117" s="91"/>
      <c r="L117" s="91"/>
      <c r="M117" s="77"/>
      <c r="N117" s="77"/>
      <c r="O117" s="77"/>
      <c r="P117" s="77"/>
      <c r="Q117" s="77"/>
      <c r="R117" s="77"/>
      <c r="S117" s="77"/>
      <c r="T117" s="95"/>
      <c r="U117" s="95"/>
      <c r="V117" s="95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 spans="1:32" ht="14.4" customHeight="1" x14ac:dyDescent="0.25">
      <c r="A118" s="77"/>
      <c r="B118" s="77"/>
      <c r="C118" s="77"/>
      <c r="D118" s="77"/>
      <c r="E118" s="77"/>
      <c r="F118" s="77"/>
      <c r="G118" s="77"/>
      <c r="H118" s="176"/>
      <c r="I118" s="77"/>
      <c r="J118" s="90"/>
      <c r="K118" s="91"/>
      <c r="L118" s="91"/>
      <c r="M118" s="77"/>
      <c r="N118" s="77"/>
      <c r="O118" s="77"/>
      <c r="P118" s="77"/>
      <c r="Q118" s="77"/>
      <c r="R118" s="77"/>
      <c r="S118" s="77"/>
      <c r="T118" s="95"/>
      <c r="U118" s="95"/>
      <c r="V118" s="95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 spans="1:32" ht="14.4" customHeight="1" x14ac:dyDescent="0.25">
      <c r="A119" s="77"/>
      <c r="B119" s="77"/>
      <c r="C119" s="77"/>
      <c r="D119" s="77"/>
      <c r="E119" s="77"/>
      <c r="F119" s="77"/>
      <c r="G119" s="77"/>
      <c r="H119" s="176"/>
      <c r="I119" s="77"/>
      <c r="J119" s="90"/>
      <c r="K119" s="91"/>
      <c r="L119" s="91"/>
      <c r="M119" s="77"/>
      <c r="N119" s="77"/>
      <c r="O119" s="77"/>
      <c r="P119" s="77"/>
      <c r="Q119" s="77"/>
      <c r="R119" s="77"/>
      <c r="S119" s="77"/>
      <c r="T119" s="95"/>
      <c r="U119" s="95"/>
      <c r="V119" s="95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 spans="1:32" ht="14.4" customHeight="1" x14ac:dyDescent="0.25">
      <c r="A120" s="77"/>
      <c r="B120" s="77"/>
      <c r="C120" s="77"/>
      <c r="D120" s="77"/>
      <c r="E120" s="77"/>
      <c r="F120" s="77"/>
      <c r="G120" s="77"/>
      <c r="H120" s="176"/>
      <c r="I120" s="77"/>
      <c r="J120" s="90"/>
      <c r="K120" s="91"/>
      <c r="L120" s="91"/>
      <c r="M120" s="77"/>
      <c r="N120" s="77"/>
      <c r="O120" s="77"/>
      <c r="P120" s="77"/>
      <c r="Q120" s="77"/>
      <c r="R120" s="77"/>
      <c r="S120" s="77"/>
      <c r="T120" s="95"/>
      <c r="U120" s="95"/>
      <c r="V120" s="95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 spans="1:32" ht="14.4" customHeight="1" x14ac:dyDescent="0.25">
      <c r="A121" s="77"/>
      <c r="B121" s="77"/>
      <c r="C121" s="77"/>
      <c r="D121" s="77"/>
      <c r="E121" s="77"/>
      <c r="F121" s="77"/>
      <c r="G121" s="77"/>
      <c r="H121" s="176"/>
      <c r="I121" s="77"/>
      <c r="J121" s="90"/>
      <c r="K121" s="91"/>
      <c r="L121" s="91"/>
      <c r="M121" s="77"/>
      <c r="N121" s="77"/>
      <c r="O121" s="77"/>
      <c r="P121" s="77"/>
      <c r="Q121" s="77"/>
      <c r="R121" s="77"/>
      <c r="S121" s="77"/>
      <c r="T121" s="95"/>
      <c r="U121" s="95"/>
      <c r="V121" s="95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 spans="1:32" ht="14.4" customHeight="1" x14ac:dyDescent="0.25">
      <c r="A122" s="77"/>
      <c r="B122" s="77"/>
      <c r="C122" s="77"/>
      <c r="D122" s="77"/>
      <c r="E122" s="77"/>
      <c r="F122" s="77"/>
      <c r="G122" s="77"/>
      <c r="H122" s="176"/>
      <c r="I122" s="77"/>
      <c r="J122" s="90"/>
      <c r="K122" s="91"/>
      <c r="L122" s="91"/>
      <c r="M122" s="77"/>
      <c r="N122" s="77"/>
      <c r="O122" s="77"/>
      <c r="P122" s="77"/>
      <c r="Q122" s="77"/>
      <c r="R122" s="77"/>
      <c r="S122" s="77"/>
      <c r="T122" s="95"/>
      <c r="U122" s="95"/>
      <c r="V122" s="95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 spans="1:32" ht="14.4" customHeight="1" x14ac:dyDescent="0.25">
      <c r="A123" s="77"/>
      <c r="B123" s="77"/>
      <c r="C123" s="77"/>
      <c r="D123" s="77"/>
      <c r="E123" s="77"/>
      <c r="F123" s="77"/>
      <c r="G123" s="77"/>
      <c r="H123" s="176"/>
      <c r="I123" s="77"/>
      <c r="J123" s="90"/>
      <c r="K123" s="91"/>
      <c r="L123" s="91"/>
      <c r="M123" s="77"/>
      <c r="N123" s="77"/>
      <c r="O123" s="77"/>
      <c r="P123" s="77"/>
      <c r="Q123" s="77"/>
      <c r="R123" s="77"/>
      <c r="S123" s="77"/>
      <c r="T123" s="95"/>
      <c r="U123" s="95"/>
      <c r="V123" s="95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 spans="1:32" ht="14.4" customHeight="1" x14ac:dyDescent="0.25">
      <c r="A124" s="77"/>
      <c r="B124" s="77"/>
      <c r="C124" s="77"/>
      <c r="D124" s="77"/>
      <c r="E124" s="77"/>
      <c r="F124" s="77"/>
      <c r="G124" s="77"/>
      <c r="H124" s="176"/>
      <c r="I124" s="77"/>
      <c r="J124" s="90"/>
      <c r="K124" s="91"/>
      <c r="L124" s="91"/>
      <c r="M124" s="77"/>
      <c r="N124" s="77"/>
      <c r="O124" s="77"/>
      <c r="P124" s="77"/>
      <c r="Q124" s="77"/>
      <c r="R124" s="77"/>
      <c r="S124" s="77"/>
      <c r="T124" s="95"/>
      <c r="U124" s="95"/>
      <c r="V124" s="95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 spans="1:32" ht="14.4" customHeight="1" x14ac:dyDescent="0.25">
      <c r="A125" s="77"/>
      <c r="B125" s="77"/>
      <c r="C125" s="77"/>
      <c r="D125" s="77"/>
      <c r="E125" s="77"/>
      <c r="F125" s="77"/>
      <c r="G125" s="77"/>
      <c r="H125" s="176"/>
      <c r="I125" s="77"/>
      <c r="J125" s="90"/>
      <c r="K125" s="91"/>
      <c r="L125" s="91"/>
      <c r="M125" s="77"/>
      <c r="N125" s="77"/>
      <c r="O125" s="77"/>
      <c r="P125" s="77"/>
      <c r="Q125" s="77"/>
      <c r="R125" s="77"/>
      <c r="S125" s="77"/>
      <c r="T125" s="95"/>
      <c r="U125" s="95"/>
      <c r="V125" s="95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spans="1:32" ht="14.4" customHeight="1" x14ac:dyDescent="0.25">
      <c r="A126" s="77"/>
      <c r="B126" s="77"/>
      <c r="C126" s="77"/>
      <c r="D126" s="77"/>
      <c r="E126" s="77"/>
      <c r="F126" s="77"/>
      <c r="G126" s="77"/>
      <c r="H126" s="176"/>
      <c r="I126" s="77"/>
      <c r="J126" s="90"/>
      <c r="K126" s="91"/>
      <c r="L126" s="91"/>
      <c r="M126" s="77"/>
      <c r="N126" s="77"/>
      <c r="O126" s="77"/>
      <c r="P126" s="77"/>
      <c r="Q126" s="77"/>
      <c r="R126" s="77"/>
      <c r="S126" s="77"/>
      <c r="T126" s="95"/>
      <c r="U126" s="95"/>
      <c r="V126" s="95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 spans="1:32" ht="14.4" customHeight="1" x14ac:dyDescent="0.25">
      <c r="A127" s="77"/>
      <c r="B127" s="77"/>
      <c r="C127" s="77"/>
      <c r="D127" s="77"/>
      <c r="E127" s="77"/>
      <c r="F127" s="77"/>
      <c r="G127" s="77"/>
      <c r="H127" s="176"/>
      <c r="I127" s="77"/>
      <c r="J127" s="90"/>
      <c r="K127" s="91"/>
      <c r="L127" s="91"/>
      <c r="M127" s="77"/>
      <c r="N127" s="77"/>
      <c r="O127" s="77"/>
      <c r="P127" s="77"/>
      <c r="Q127" s="77"/>
      <c r="R127" s="77"/>
      <c r="S127" s="77"/>
      <c r="T127" s="95"/>
      <c r="U127" s="95"/>
      <c r="V127" s="95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 spans="1:32" ht="14.4" customHeight="1" x14ac:dyDescent="0.25">
      <c r="A128" s="77"/>
      <c r="B128" s="77"/>
      <c r="C128" s="77"/>
      <c r="D128" s="77"/>
      <c r="E128" s="77"/>
      <c r="F128" s="77"/>
      <c r="G128" s="77"/>
      <c r="H128" s="176"/>
      <c r="I128" s="77"/>
      <c r="J128" s="90"/>
      <c r="K128" s="91"/>
      <c r="L128" s="91"/>
      <c r="M128" s="77"/>
      <c r="N128" s="77"/>
      <c r="O128" s="77"/>
      <c r="P128" s="77"/>
      <c r="Q128" s="77"/>
      <c r="R128" s="77"/>
      <c r="S128" s="77"/>
      <c r="T128" s="95"/>
      <c r="U128" s="95"/>
      <c r="V128" s="95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 spans="1:32" ht="14.4" customHeight="1" x14ac:dyDescent="0.25">
      <c r="A129" s="77"/>
      <c r="B129" s="77"/>
      <c r="C129" s="77"/>
      <c r="D129" s="77"/>
      <c r="E129" s="77"/>
      <c r="F129" s="77"/>
      <c r="G129" s="77"/>
      <c r="H129" s="176"/>
      <c r="I129" s="77"/>
      <c r="J129" s="90"/>
      <c r="K129" s="91"/>
      <c r="L129" s="91"/>
      <c r="M129" s="77"/>
      <c r="N129" s="77"/>
      <c r="O129" s="77"/>
      <c r="P129" s="77"/>
      <c r="Q129" s="77"/>
      <c r="R129" s="77"/>
      <c r="S129" s="77"/>
      <c r="T129" s="95"/>
      <c r="U129" s="95"/>
      <c r="V129" s="95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 spans="1:32" ht="14.4" customHeight="1" x14ac:dyDescent="0.25">
      <c r="A130" s="77"/>
      <c r="B130" s="77"/>
      <c r="C130" s="77"/>
      <c r="D130" s="77"/>
      <c r="E130" s="77"/>
      <c r="F130" s="77"/>
      <c r="G130" s="77"/>
      <c r="H130" s="176"/>
      <c r="I130" s="77"/>
      <c r="J130" s="90"/>
      <c r="K130" s="91"/>
      <c r="L130" s="91"/>
      <c r="M130" s="77"/>
      <c r="N130" s="77"/>
      <c r="O130" s="77"/>
      <c r="P130" s="77"/>
      <c r="Q130" s="77"/>
      <c r="R130" s="77"/>
      <c r="S130" s="77"/>
      <c r="T130" s="95"/>
      <c r="U130" s="95"/>
      <c r="V130" s="95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 spans="1:32" ht="14.4" customHeight="1" x14ac:dyDescent="0.25">
      <c r="A131" s="77"/>
      <c r="B131" s="77"/>
      <c r="C131" s="77"/>
      <c r="D131" s="77"/>
      <c r="E131" s="77"/>
      <c r="F131" s="77"/>
      <c r="G131" s="77"/>
      <c r="H131" s="176"/>
      <c r="I131" s="77"/>
      <c r="J131" s="90"/>
      <c r="K131" s="91"/>
      <c r="L131" s="91"/>
      <c r="M131" s="77"/>
      <c r="N131" s="77"/>
      <c r="O131" s="77"/>
      <c r="P131" s="77"/>
      <c r="Q131" s="77"/>
      <c r="R131" s="77"/>
      <c r="S131" s="77"/>
      <c r="T131" s="95"/>
      <c r="U131" s="95"/>
      <c r="V131" s="95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 spans="1:32" ht="14.4" customHeight="1" x14ac:dyDescent="0.25">
      <c r="A132" s="77"/>
      <c r="B132" s="77"/>
      <c r="C132" s="77"/>
      <c r="D132" s="77"/>
      <c r="E132" s="77"/>
      <c r="F132" s="77"/>
      <c r="G132" s="77"/>
      <c r="H132" s="176"/>
      <c r="I132" s="77"/>
      <c r="J132" s="90"/>
      <c r="K132" s="91"/>
      <c r="L132" s="91"/>
      <c r="M132" s="77"/>
      <c r="N132" s="77"/>
      <c r="O132" s="77"/>
      <c r="P132" s="77"/>
      <c r="Q132" s="77"/>
      <c r="R132" s="77"/>
      <c r="S132" s="77"/>
      <c r="T132" s="95"/>
      <c r="U132" s="95"/>
      <c r="V132" s="95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 spans="1:32" ht="14.4" customHeight="1" x14ac:dyDescent="0.25">
      <c r="A133" s="77"/>
      <c r="B133" s="77"/>
      <c r="C133" s="77"/>
      <c r="D133" s="77"/>
      <c r="E133" s="77"/>
      <c r="F133" s="77"/>
      <c r="G133" s="77"/>
      <c r="H133" s="176"/>
      <c r="I133" s="77"/>
      <c r="J133" s="90"/>
      <c r="K133" s="91"/>
      <c r="L133" s="91"/>
      <c r="M133" s="77"/>
      <c r="N133" s="77"/>
      <c r="O133" s="77"/>
      <c r="P133" s="77"/>
      <c r="Q133" s="77"/>
      <c r="R133" s="77"/>
      <c r="S133" s="77"/>
      <c r="T133" s="95"/>
      <c r="U133" s="95"/>
      <c r="V133" s="95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 spans="1:32" ht="14.4" customHeight="1" x14ac:dyDescent="0.25">
      <c r="A134" s="77"/>
      <c r="B134" s="77"/>
      <c r="C134" s="77"/>
      <c r="D134" s="77"/>
      <c r="E134" s="77"/>
      <c r="F134" s="77"/>
      <c r="G134" s="77"/>
      <c r="H134" s="176"/>
      <c r="I134" s="77"/>
      <c r="J134" s="90"/>
      <c r="K134" s="91"/>
      <c r="L134" s="91"/>
      <c r="M134" s="77"/>
      <c r="N134" s="77"/>
      <c r="O134" s="77"/>
      <c r="P134" s="77"/>
      <c r="Q134" s="77"/>
      <c r="R134" s="77"/>
      <c r="S134" s="77"/>
      <c r="T134" s="95"/>
      <c r="U134" s="95"/>
      <c r="V134" s="95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 spans="1:32" ht="14.4" customHeight="1" x14ac:dyDescent="0.25">
      <c r="A135" s="77"/>
      <c r="B135" s="77"/>
      <c r="C135" s="77"/>
      <c r="D135" s="77"/>
      <c r="E135" s="77"/>
      <c r="F135" s="77"/>
      <c r="G135" s="77"/>
      <c r="H135" s="176"/>
      <c r="I135" s="77"/>
      <c r="J135" s="90"/>
      <c r="K135" s="91"/>
      <c r="L135" s="91"/>
      <c r="M135" s="77"/>
      <c r="N135" s="77"/>
      <c r="O135" s="77"/>
      <c r="P135" s="77"/>
      <c r="Q135" s="77"/>
      <c r="R135" s="77"/>
      <c r="S135" s="77"/>
      <c r="T135" s="95"/>
      <c r="U135" s="95"/>
      <c r="V135" s="95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 spans="1:32" ht="14.4" customHeight="1" x14ac:dyDescent="0.25">
      <c r="A136" s="77"/>
      <c r="B136" s="77"/>
      <c r="C136" s="77"/>
      <c r="D136" s="77"/>
      <c r="E136" s="77"/>
      <c r="F136" s="77"/>
      <c r="G136" s="77"/>
      <c r="H136" s="176"/>
      <c r="I136" s="77"/>
      <c r="J136" s="90"/>
      <c r="K136" s="91"/>
      <c r="L136" s="91"/>
      <c r="M136" s="77"/>
      <c r="N136" s="77"/>
      <c r="O136" s="77"/>
      <c r="P136" s="77"/>
      <c r="Q136" s="77"/>
      <c r="R136" s="77"/>
      <c r="S136" s="77"/>
      <c r="T136" s="95"/>
      <c r="U136" s="95"/>
      <c r="V136" s="95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 spans="1:32" ht="14.4" customHeight="1" x14ac:dyDescent="0.25">
      <c r="A137" s="77"/>
      <c r="B137" s="77"/>
      <c r="C137" s="77"/>
      <c r="D137" s="77"/>
      <c r="E137" s="77"/>
      <c r="F137" s="77"/>
      <c r="G137" s="77"/>
      <c r="H137" s="176"/>
      <c r="I137" s="77"/>
      <c r="J137" s="90"/>
      <c r="K137" s="91"/>
      <c r="L137" s="91"/>
      <c r="M137" s="77"/>
      <c r="N137" s="77"/>
      <c r="O137" s="77"/>
      <c r="P137" s="77"/>
      <c r="Q137" s="77"/>
      <c r="R137" s="77"/>
      <c r="S137" s="77"/>
      <c r="T137" s="95"/>
      <c r="U137" s="95"/>
      <c r="V137" s="95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 spans="1:32" ht="14.4" customHeight="1" x14ac:dyDescent="0.25">
      <c r="A138" s="77"/>
      <c r="B138" s="77"/>
      <c r="C138" s="77"/>
      <c r="D138" s="77"/>
      <c r="E138" s="77"/>
      <c r="F138" s="77"/>
      <c r="G138" s="77"/>
      <c r="H138" s="176"/>
      <c r="I138" s="77"/>
      <c r="J138" s="90"/>
      <c r="K138" s="91"/>
      <c r="L138" s="91"/>
      <c r="M138" s="77"/>
      <c r="N138" s="77"/>
      <c r="O138" s="77"/>
      <c r="P138" s="77"/>
      <c r="Q138" s="77"/>
      <c r="R138" s="77"/>
      <c r="S138" s="77"/>
      <c r="T138" s="95"/>
      <c r="U138" s="95"/>
      <c r="V138" s="95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 spans="1:32" ht="14.4" customHeight="1" x14ac:dyDescent="0.25">
      <c r="A139" s="77"/>
      <c r="B139" s="77"/>
      <c r="C139" s="77"/>
      <c r="D139" s="77"/>
      <c r="E139" s="77"/>
      <c r="F139" s="77"/>
      <c r="G139" s="77"/>
      <c r="H139" s="176"/>
      <c r="I139" s="77"/>
      <c r="J139" s="90"/>
      <c r="K139" s="91"/>
      <c r="L139" s="91"/>
      <c r="M139" s="77"/>
      <c r="N139" s="77"/>
      <c r="O139" s="77"/>
      <c r="P139" s="77"/>
      <c r="Q139" s="77"/>
      <c r="R139" s="77"/>
      <c r="S139" s="77"/>
      <c r="T139" s="95"/>
      <c r="U139" s="95"/>
      <c r="V139" s="95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 spans="1:32" ht="14.4" customHeight="1" x14ac:dyDescent="0.25">
      <c r="A140" s="77"/>
      <c r="B140" s="77"/>
      <c r="C140" s="77"/>
      <c r="D140" s="77"/>
      <c r="E140" s="77"/>
      <c r="F140" s="77"/>
      <c r="G140" s="77"/>
      <c r="H140" s="176"/>
      <c r="I140" s="77"/>
      <c r="J140" s="90"/>
      <c r="K140" s="91"/>
      <c r="L140" s="91"/>
      <c r="M140" s="77"/>
      <c r="N140" s="77"/>
      <c r="O140" s="77"/>
      <c r="P140" s="77"/>
      <c r="Q140" s="77"/>
      <c r="R140" s="77"/>
      <c r="S140" s="77"/>
      <c r="T140" s="95"/>
      <c r="U140" s="95"/>
      <c r="V140" s="95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 spans="1:32" ht="14.4" customHeight="1" x14ac:dyDescent="0.25">
      <c r="A141" s="77"/>
      <c r="B141" s="77"/>
      <c r="C141" s="77"/>
      <c r="D141" s="77"/>
      <c r="E141" s="77"/>
      <c r="F141" s="77"/>
      <c r="G141" s="77"/>
      <c r="H141" s="176"/>
      <c r="I141" s="77"/>
      <c r="J141" s="90"/>
      <c r="K141" s="91"/>
      <c r="L141" s="91"/>
      <c r="M141" s="77"/>
      <c r="N141" s="77"/>
      <c r="O141" s="77"/>
      <c r="P141" s="77"/>
      <c r="Q141" s="77"/>
      <c r="R141" s="77"/>
      <c r="S141" s="77"/>
      <c r="T141" s="95"/>
      <c r="U141" s="95"/>
      <c r="V141" s="95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 spans="1:32" ht="14.4" customHeight="1" x14ac:dyDescent="0.25">
      <c r="A142" s="77"/>
      <c r="B142" s="77"/>
      <c r="C142" s="77"/>
      <c r="D142" s="77"/>
      <c r="E142" s="77"/>
      <c r="F142" s="77"/>
      <c r="G142" s="77"/>
      <c r="H142" s="176"/>
      <c r="I142" s="77"/>
      <c r="J142" s="90"/>
      <c r="K142" s="91"/>
      <c r="L142" s="91"/>
      <c r="M142" s="77"/>
      <c r="N142" s="77"/>
      <c r="O142" s="77"/>
      <c r="P142" s="77"/>
      <c r="Q142" s="77"/>
      <c r="R142" s="77"/>
      <c r="S142" s="77"/>
      <c r="T142" s="95"/>
      <c r="U142" s="95"/>
      <c r="V142" s="95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 spans="1:32" ht="14.4" customHeight="1" x14ac:dyDescent="0.25">
      <c r="A143" s="77"/>
      <c r="B143" s="77"/>
      <c r="C143" s="77"/>
      <c r="D143" s="77"/>
      <c r="E143" s="77"/>
      <c r="F143" s="77"/>
      <c r="G143" s="77"/>
      <c r="H143" s="176"/>
      <c r="I143" s="77"/>
      <c r="J143" s="90"/>
      <c r="K143" s="91"/>
      <c r="L143" s="91"/>
      <c r="M143" s="77"/>
      <c r="N143" s="77"/>
      <c r="O143" s="77"/>
      <c r="P143" s="77"/>
      <c r="Q143" s="77"/>
      <c r="R143" s="77"/>
      <c r="S143" s="77"/>
      <c r="T143" s="95"/>
      <c r="U143" s="95"/>
      <c r="V143" s="95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 spans="1:32" ht="14.4" customHeight="1" x14ac:dyDescent="0.25">
      <c r="A144" s="77"/>
      <c r="B144" s="77"/>
      <c r="C144" s="77"/>
      <c r="D144" s="77"/>
      <c r="E144" s="77"/>
      <c r="F144" s="77"/>
      <c r="G144" s="77"/>
      <c r="H144" s="176"/>
      <c r="I144" s="77"/>
      <c r="J144" s="90"/>
      <c r="K144" s="91"/>
      <c r="L144" s="91"/>
      <c r="M144" s="77"/>
      <c r="N144" s="77"/>
      <c r="O144" s="77"/>
      <c r="P144" s="77"/>
      <c r="Q144" s="77"/>
      <c r="R144" s="77"/>
      <c r="S144" s="77"/>
      <c r="T144" s="95"/>
      <c r="U144" s="95"/>
      <c r="V144" s="95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 spans="1:32" ht="14.4" customHeight="1" x14ac:dyDescent="0.25">
      <c r="A145" s="77"/>
      <c r="B145" s="77"/>
      <c r="C145" s="77"/>
      <c r="D145" s="77"/>
      <c r="E145" s="77"/>
      <c r="F145" s="77"/>
      <c r="G145" s="77"/>
      <c r="H145" s="176"/>
      <c r="I145" s="77"/>
      <c r="J145" s="90"/>
      <c r="K145" s="91"/>
      <c r="L145" s="91"/>
      <c r="M145" s="77"/>
      <c r="N145" s="77"/>
      <c r="O145" s="77"/>
      <c r="P145" s="77"/>
      <c r="Q145" s="77"/>
      <c r="R145" s="77"/>
      <c r="S145" s="77"/>
      <c r="T145" s="95"/>
      <c r="U145" s="95"/>
      <c r="V145" s="95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 spans="1:32" ht="14.4" customHeight="1" x14ac:dyDescent="0.25">
      <c r="A146" s="77"/>
      <c r="B146" s="77"/>
      <c r="C146" s="77"/>
      <c r="D146" s="77"/>
      <c r="E146" s="77"/>
      <c r="F146" s="77"/>
      <c r="G146" s="77"/>
      <c r="H146" s="176"/>
      <c r="I146" s="77"/>
      <c r="J146" s="90"/>
      <c r="K146" s="91"/>
      <c r="L146" s="91"/>
      <c r="M146" s="77"/>
      <c r="N146" s="77"/>
      <c r="O146" s="77"/>
      <c r="P146" s="77"/>
      <c r="Q146" s="77"/>
      <c r="R146" s="77"/>
      <c r="S146" s="77"/>
      <c r="T146" s="95"/>
      <c r="U146" s="95"/>
      <c r="V146" s="95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 spans="1:32" ht="14.4" customHeight="1" x14ac:dyDescent="0.25">
      <c r="A147" s="77"/>
      <c r="B147" s="77"/>
      <c r="C147" s="77"/>
      <c r="D147" s="77"/>
      <c r="E147" s="77"/>
      <c r="F147" s="77"/>
      <c r="G147" s="77"/>
      <c r="H147" s="176"/>
      <c r="I147" s="77"/>
      <c r="J147" s="90"/>
      <c r="K147" s="91"/>
      <c r="L147" s="91"/>
      <c r="M147" s="77"/>
      <c r="N147" s="77"/>
      <c r="O147" s="77"/>
      <c r="P147" s="77"/>
      <c r="Q147" s="77"/>
      <c r="R147" s="77"/>
      <c r="S147" s="77"/>
      <c r="T147" s="95"/>
      <c r="U147" s="95"/>
      <c r="V147" s="95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 spans="1:32" ht="14.4" customHeight="1" x14ac:dyDescent="0.25">
      <c r="A148" s="77"/>
      <c r="B148" s="77"/>
      <c r="C148" s="77"/>
      <c r="D148" s="77"/>
      <c r="E148" s="77"/>
      <c r="F148" s="77"/>
      <c r="G148" s="77"/>
      <c r="H148" s="176"/>
      <c r="I148" s="77"/>
      <c r="J148" s="90"/>
      <c r="K148" s="91"/>
      <c r="L148" s="91"/>
      <c r="M148" s="77"/>
      <c r="N148" s="77"/>
      <c r="O148" s="77"/>
      <c r="P148" s="77"/>
      <c r="Q148" s="77"/>
      <c r="R148" s="77"/>
      <c r="S148" s="77"/>
      <c r="T148" s="95"/>
      <c r="U148" s="95"/>
      <c r="V148" s="95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 spans="1:32" ht="14.4" customHeight="1" x14ac:dyDescent="0.25">
      <c r="A149" s="77"/>
      <c r="B149" s="77"/>
      <c r="C149" s="77"/>
      <c r="D149" s="77"/>
      <c r="E149" s="77"/>
      <c r="F149" s="77"/>
      <c r="G149" s="77"/>
      <c r="H149" s="176"/>
      <c r="I149" s="77"/>
      <c r="J149" s="90"/>
      <c r="K149" s="91"/>
      <c r="L149" s="91"/>
      <c r="M149" s="77"/>
      <c r="N149" s="77"/>
      <c r="O149" s="77"/>
      <c r="P149" s="77"/>
      <c r="Q149" s="77"/>
      <c r="R149" s="77"/>
      <c r="S149" s="77"/>
      <c r="T149" s="95"/>
      <c r="U149" s="95"/>
      <c r="V149" s="95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 spans="1:32" ht="14.4" customHeight="1" x14ac:dyDescent="0.25">
      <c r="A150" s="77"/>
      <c r="B150" s="77"/>
      <c r="C150" s="77"/>
      <c r="D150" s="77"/>
      <c r="E150" s="77"/>
      <c r="F150" s="77"/>
      <c r="G150" s="77"/>
      <c r="H150" s="176"/>
      <c r="I150" s="77"/>
      <c r="J150" s="90"/>
      <c r="K150" s="91"/>
      <c r="L150" s="91"/>
      <c r="M150" s="77"/>
      <c r="N150" s="77"/>
      <c r="O150" s="77"/>
      <c r="P150" s="77"/>
      <c r="Q150" s="77"/>
      <c r="R150" s="77"/>
      <c r="S150" s="77"/>
      <c r="T150" s="95"/>
      <c r="U150" s="95"/>
      <c r="V150" s="95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 spans="1:32" ht="14.4" customHeight="1" x14ac:dyDescent="0.25">
      <c r="A151" s="77"/>
      <c r="B151" s="77"/>
      <c r="C151" s="77"/>
      <c r="D151" s="77"/>
      <c r="E151" s="77"/>
      <c r="F151" s="77"/>
      <c r="G151" s="77"/>
      <c r="H151" s="176"/>
      <c r="I151" s="77"/>
      <c r="J151" s="90"/>
      <c r="K151" s="91"/>
      <c r="L151" s="91"/>
      <c r="M151" s="77"/>
      <c r="N151" s="77"/>
      <c r="O151" s="77"/>
      <c r="P151" s="77"/>
      <c r="Q151" s="77"/>
      <c r="R151" s="77"/>
      <c r="S151" s="77"/>
      <c r="T151" s="95"/>
      <c r="U151" s="95"/>
      <c r="V151" s="95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 spans="1:32" ht="14.4" customHeight="1" x14ac:dyDescent="0.25">
      <c r="A152" s="77"/>
      <c r="B152" s="77"/>
      <c r="C152" s="77"/>
      <c r="D152" s="77"/>
      <c r="E152" s="77"/>
      <c r="F152" s="77"/>
      <c r="G152" s="77"/>
      <c r="H152" s="176"/>
      <c r="I152" s="77"/>
      <c r="J152" s="90"/>
      <c r="K152" s="91"/>
      <c r="L152" s="91"/>
      <c r="M152" s="77"/>
      <c r="N152" s="77"/>
      <c r="O152" s="77"/>
      <c r="P152" s="77"/>
      <c r="Q152" s="77"/>
      <c r="R152" s="77"/>
      <c r="S152" s="77"/>
      <c r="T152" s="95"/>
      <c r="U152" s="95"/>
      <c r="V152" s="95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 spans="1:32" ht="14.4" customHeight="1" x14ac:dyDescent="0.25">
      <c r="A153" s="77"/>
      <c r="B153" s="77"/>
      <c r="C153" s="77"/>
      <c r="D153" s="77"/>
      <c r="E153" s="77"/>
      <c r="F153" s="77"/>
      <c r="G153" s="77"/>
      <c r="H153" s="176"/>
      <c r="I153" s="77"/>
      <c r="J153" s="90"/>
      <c r="K153" s="91"/>
      <c r="L153" s="91"/>
      <c r="M153" s="77"/>
      <c r="N153" s="77"/>
      <c r="O153" s="77"/>
      <c r="P153" s="77"/>
      <c r="Q153" s="77"/>
      <c r="R153" s="77"/>
      <c r="S153" s="77"/>
      <c r="T153" s="95"/>
      <c r="U153" s="95"/>
      <c r="V153" s="95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 spans="1:32" ht="14.4" customHeight="1" x14ac:dyDescent="0.25">
      <c r="A154" s="77"/>
      <c r="B154" s="77"/>
      <c r="C154" s="77"/>
      <c r="D154" s="77"/>
      <c r="E154" s="77"/>
      <c r="F154" s="77"/>
      <c r="G154" s="77"/>
      <c r="H154" s="176"/>
      <c r="I154" s="77"/>
      <c r="J154" s="90"/>
      <c r="K154" s="91"/>
      <c r="L154" s="91"/>
      <c r="M154" s="77"/>
      <c r="N154" s="77"/>
      <c r="O154" s="77"/>
      <c r="P154" s="77"/>
      <c r="Q154" s="77"/>
      <c r="R154" s="77"/>
      <c r="S154" s="77"/>
      <c r="T154" s="95"/>
      <c r="U154" s="95"/>
      <c r="V154" s="95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 spans="1:32" ht="14.4" customHeight="1" x14ac:dyDescent="0.25">
      <c r="A155" s="77"/>
      <c r="B155" s="77"/>
      <c r="C155" s="77"/>
      <c r="D155" s="77"/>
      <c r="E155" s="77"/>
      <c r="F155" s="77"/>
      <c r="G155" s="77"/>
      <c r="H155" s="176"/>
      <c r="I155" s="77"/>
      <c r="J155" s="90"/>
      <c r="K155" s="91"/>
      <c r="L155" s="91"/>
      <c r="M155" s="77"/>
      <c r="N155" s="77"/>
      <c r="O155" s="77"/>
      <c r="P155" s="77"/>
      <c r="Q155" s="77"/>
      <c r="R155" s="77"/>
      <c r="S155" s="77"/>
      <c r="T155" s="95"/>
      <c r="U155" s="95"/>
      <c r="V155" s="95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 spans="1:32" ht="14.4" customHeight="1" x14ac:dyDescent="0.25">
      <c r="A156" s="77"/>
      <c r="B156" s="77"/>
      <c r="C156" s="77"/>
      <c r="D156" s="77"/>
      <c r="E156" s="77"/>
      <c r="F156" s="77"/>
      <c r="G156" s="77"/>
      <c r="H156" s="176"/>
      <c r="I156" s="77"/>
      <c r="J156" s="90"/>
      <c r="K156" s="91"/>
      <c r="L156" s="91"/>
      <c r="M156" s="77"/>
      <c r="N156" s="77"/>
      <c r="O156" s="77"/>
      <c r="P156" s="77"/>
      <c r="Q156" s="77"/>
      <c r="R156" s="77"/>
      <c r="S156" s="77"/>
      <c r="T156" s="95"/>
      <c r="U156" s="95"/>
      <c r="V156" s="95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 spans="1:32" ht="14.4" customHeight="1" x14ac:dyDescent="0.25">
      <c r="A157" s="77"/>
      <c r="B157" s="77"/>
      <c r="C157" s="77"/>
      <c r="D157" s="77"/>
      <c r="E157" s="77"/>
      <c r="F157" s="77"/>
      <c r="G157" s="77"/>
      <c r="H157" s="176"/>
      <c r="I157" s="77"/>
      <c r="J157" s="90"/>
      <c r="K157" s="91"/>
      <c r="L157" s="91"/>
      <c r="M157" s="77"/>
      <c r="N157" s="77"/>
      <c r="O157" s="77"/>
      <c r="P157" s="77"/>
      <c r="Q157" s="77"/>
      <c r="R157" s="77"/>
      <c r="S157" s="77"/>
      <c r="T157" s="95"/>
      <c r="U157" s="95"/>
      <c r="V157" s="95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 spans="1:32" ht="14.4" customHeight="1" x14ac:dyDescent="0.25">
      <c r="A158" s="77"/>
      <c r="B158" s="77"/>
      <c r="C158" s="77"/>
      <c r="D158" s="77"/>
      <c r="E158" s="77"/>
      <c r="F158" s="77"/>
      <c r="G158" s="77"/>
      <c r="H158" s="176"/>
      <c r="I158" s="77"/>
      <c r="J158" s="90"/>
      <c r="K158" s="91"/>
      <c r="L158" s="91"/>
      <c r="M158" s="77"/>
      <c r="N158" s="77"/>
      <c r="O158" s="77"/>
      <c r="P158" s="77"/>
      <c r="Q158" s="77"/>
      <c r="R158" s="77"/>
      <c r="S158" s="77"/>
      <c r="T158" s="95"/>
      <c r="U158" s="95"/>
      <c r="V158" s="95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 spans="1:32" ht="14.4" customHeight="1" x14ac:dyDescent="0.25">
      <c r="A159" s="77"/>
      <c r="B159" s="77"/>
      <c r="C159" s="77"/>
      <c r="D159" s="77"/>
      <c r="E159" s="77"/>
      <c r="F159" s="77"/>
      <c r="G159" s="77"/>
      <c r="H159" s="176"/>
      <c r="I159" s="77"/>
      <c r="J159" s="90"/>
      <c r="K159" s="91"/>
      <c r="L159" s="91"/>
      <c r="M159" s="77"/>
      <c r="N159" s="77"/>
      <c r="O159" s="77"/>
      <c r="P159" s="77"/>
      <c r="Q159" s="77"/>
      <c r="R159" s="77"/>
      <c r="S159" s="77"/>
      <c r="T159" s="95"/>
      <c r="U159" s="95"/>
      <c r="V159" s="95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 spans="1:32" ht="14.4" customHeight="1" x14ac:dyDescent="0.25">
      <c r="A160" s="77"/>
      <c r="B160" s="77"/>
      <c r="C160" s="77"/>
      <c r="D160" s="77"/>
      <c r="E160" s="77"/>
      <c r="F160" s="77"/>
      <c r="G160" s="77"/>
      <c r="H160" s="176"/>
      <c r="I160" s="77"/>
      <c r="J160" s="90"/>
      <c r="K160" s="91"/>
      <c r="L160" s="91"/>
      <c r="M160" s="77"/>
      <c r="N160" s="77"/>
      <c r="O160" s="77"/>
      <c r="P160" s="77"/>
      <c r="Q160" s="77"/>
      <c r="R160" s="77"/>
      <c r="S160" s="77"/>
      <c r="T160" s="95"/>
      <c r="U160" s="95"/>
      <c r="V160" s="95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 spans="1:32" ht="14.4" customHeight="1" x14ac:dyDescent="0.25">
      <c r="A161" s="77"/>
      <c r="B161" s="77"/>
      <c r="C161" s="77"/>
      <c r="D161" s="77"/>
      <c r="E161" s="77"/>
      <c r="F161" s="77"/>
      <c r="G161" s="77"/>
      <c r="H161" s="176"/>
      <c r="I161" s="77"/>
      <c r="J161" s="90"/>
      <c r="K161" s="91"/>
      <c r="L161" s="91"/>
      <c r="M161" s="77"/>
      <c r="N161" s="77"/>
      <c r="O161" s="77"/>
      <c r="P161" s="77"/>
      <c r="Q161" s="77"/>
      <c r="R161" s="77"/>
      <c r="S161" s="77"/>
      <c r="T161" s="95"/>
      <c r="U161" s="95"/>
      <c r="V161" s="95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 spans="1:32" ht="14.4" customHeight="1" x14ac:dyDescent="0.25">
      <c r="A162" s="77"/>
      <c r="B162" s="77"/>
      <c r="C162" s="77"/>
      <c r="D162" s="77"/>
      <c r="E162" s="77"/>
      <c r="F162" s="77"/>
      <c r="G162" s="77"/>
      <c r="H162" s="176"/>
      <c r="I162" s="77"/>
      <c r="J162" s="90"/>
      <c r="K162" s="91"/>
      <c r="L162" s="91"/>
      <c r="M162" s="77"/>
      <c r="N162" s="77"/>
      <c r="O162" s="77"/>
      <c r="P162" s="77"/>
      <c r="Q162" s="77"/>
      <c r="R162" s="77"/>
      <c r="S162" s="77"/>
      <c r="T162" s="95"/>
      <c r="U162" s="95"/>
      <c r="V162" s="95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 spans="1:32" ht="14.4" customHeight="1" x14ac:dyDescent="0.25">
      <c r="A163" s="77"/>
      <c r="B163" s="77"/>
      <c r="C163" s="77"/>
      <c r="D163" s="77"/>
      <c r="E163" s="77"/>
      <c r="F163" s="77"/>
      <c r="G163" s="77"/>
      <c r="H163" s="176"/>
      <c r="I163" s="77"/>
      <c r="J163" s="90"/>
      <c r="K163" s="91"/>
      <c r="L163" s="91"/>
      <c r="M163" s="77"/>
      <c r="N163" s="77"/>
      <c r="O163" s="77"/>
      <c r="P163" s="77"/>
      <c r="Q163" s="77"/>
      <c r="R163" s="77"/>
      <c r="S163" s="77"/>
      <c r="T163" s="95"/>
      <c r="U163" s="95"/>
      <c r="V163" s="95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 spans="1:32" ht="14.4" customHeight="1" x14ac:dyDescent="0.25">
      <c r="A164" s="77"/>
      <c r="B164" s="77"/>
      <c r="C164" s="77"/>
      <c r="D164" s="77"/>
      <c r="E164" s="77"/>
      <c r="F164" s="77"/>
      <c r="G164" s="77"/>
      <c r="H164" s="176"/>
      <c r="I164" s="77"/>
      <c r="J164" s="90"/>
      <c r="K164" s="91"/>
      <c r="L164" s="91"/>
      <c r="M164" s="77"/>
      <c r="N164" s="77"/>
      <c r="O164" s="77"/>
      <c r="P164" s="77"/>
      <c r="Q164" s="77"/>
      <c r="R164" s="77"/>
      <c r="S164" s="77"/>
      <c r="T164" s="95"/>
      <c r="U164" s="95"/>
      <c r="V164" s="95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 spans="1:32" ht="14.4" customHeight="1" x14ac:dyDescent="0.25">
      <c r="A165" s="77"/>
      <c r="B165" s="77"/>
      <c r="C165" s="77"/>
      <c r="D165" s="77"/>
      <c r="E165" s="77"/>
      <c r="F165" s="77"/>
      <c r="G165" s="77"/>
      <c r="H165" s="176"/>
      <c r="I165" s="77"/>
      <c r="J165" s="90"/>
      <c r="K165" s="91"/>
      <c r="L165" s="91"/>
      <c r="M165" s="77"/>
      <c r="N165" s="77"/>
      <c r="O165" s="77"/>
      <c r="P165" s="77"/>
      <c r="Q165" s="77"/>
      <c r="R165" s="77"/>
      <c r="S165" s="77"/>
      <c r="T165" s="95"/>
      <c r="U165" s="95"/>
      <c r="V165" s="95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 spans="1:32" ht="14.4" customHeight="1" x14ac:dyDescent="0.25">
      <c r="A166" s="77"/>
      <c r="B166" s="77"/>
      <c r="C166" s="77"/>
      <c r="D166" s="77"/>
      <c r="E166" s="77"/>
      <c r="F166" s="77"/>
      <c r="G166" s="77"/>
      <c r="H166" s="176"/>
      <c r="I166" s="77"/>
      <c r="J166" s="90"/>
      <c r="K166" s="91"/>
      <c r="L166" s="91"/>
      <c r="M166" s="77"/>
      <c r="N166" s="77"/>
      <c r="O166" s="77"/>
      <c r="P166" s="77"/>
      <c r="Q166" s="77"/>
      <c r="R166" s="77"/>
      <c r="S166" s="77"/>
      <c r="T166" s="95"/>
      <c r="U166" s="95"/>
      <c r="V166" s="95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 spans="1:32" ht="14.4" customHeight="1" x14ac:dyDescent="0.25">
      <c r="A167" s="77"/>
      <c r="B167" s="77"/>
      <c r="C167" s="77"/>
      <c r="D167" s="77"/>
      <c r="E167" s="77"/>
      <c r="F167" s="77"/>
      <c r="G167" s="77"/>
      <c r="H167" s="176"/>
      <c r="I167" s="77"/>
      <c r="J167" s="90"/>
      <c r="K167" s="91"/>
      <c r="L167" s="91"/>
      <c r="M167" s="77"/>
      <c r="N167" s="77"/>
      <c r="O167" s="77"/>
      <c r="P167" s="77"/>
      <c r="Q167" s="77"/>
      <c r="R167" s="77"/>
      <c r="S167" s="77"/>
      <c r="T167" s="95"/>
      <c r="U167" s="95"/>
      <c r="V167" s="95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 spans="1:32" ht="14.4" customHeight="1" x14ac:dyDescent="0.25">
      <c r="A168" s="77"/>
      <c r="B168" s="77"/>
      <c r="C168" s="77"/>
      <c r="D168" s="77"/>
      <c r="E168" s="77"/>
      <c r="F168" s="77"/>
      <c r="G168" s="77"/>
      <c r="H168" s="176"/>
      <c r="I168" s="77"/>
      <c r="J168" s="90"/>
      <c r="K168" s="91"/>
      <c r="L168" s="91"/>
      <c r="M168" s="77"/>
      <c r="N168" s="77"/>
      <c r="O168" s="77"/>
      <c r="P168" s="77"/>
      <c r="Q168" s="77"/>
      <c r="R168" s="77"/>
      <c r="S168" s="77"/>
      <c r="T168" s="95"/>
      <c r="U168" s="95"/>
      <c r="V168" s="95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 spans="1:32" ht="14.4" customHeight="1" x14ac:dyDescent="0.25">
      <c r="A169" s="77"/>
      <c r="B169" s="77"/>
      <c r="C169" s="77"/>
      <c r="D169" s="77"/>
      <c r="E169" s="77"/>
      <c r="F169" s="77"/>
      <c r="G169" s="77"/>
      <c r="H169" s="176"/>
      <c r="I169" s="77"/>
      <c r="J169" s="90"/>
      <c r="K169" s="91"/>
      <c r="L169" s="91"/>
      <c r="M169" s="77"/>
      <c r="N169" s="77"/>
      <c r="O169" s="77"/>
      <c r="P169" s="77"/>
      <c r="Q169" s="77"/>
      <c r="R169" s="77"/>
      <c r="S169" s="77"/>
      <c r="T169" s="95"/>
      <c r="U169" s="95"/>
      <c r="V169" s="95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 spans="1:32" ht="14.4" customHeight="1" x14ac:dyDescent="0.25">
      <c r="A170" s="77"/>
      <c r="B170" s="77"/>
      <c r="C170" s="77"/>
      <c r="D170" s="77"/>
      <c r="E170" s="77"/>
      <c r="F170" s="77"/>
      <c r="G170" s="77"/>
      <c r="H170" s="176"/>
      <c r="I170" s="77"/>
      <c r="J170" s="90"/>
      <c r="K170" s="91"/>
      <c r="L170" s="91"/>
      <c r="M170" s="77"/>
      <c r="N170" s="77"/>
      <c r="O170" s="77"/>
      <c r="P170" s="77"/>
      <c r="Q170" s="77"/>
      <c r="R170" s="77"/>
      <c r="S170" s="77"/>
      <c r="T170" s="95"/>
      <c r="U170" s="95"/>
      <c r="V170" s="95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 spans="1:32" ht="14.4" customHeight="1" x14ac:dyDescent="0.25">
      <c r="A171" s="77"/>
      <c r="B171" s="77"/>
      <c r="C171" s="77"/>
      <c r="D171" s="77"/>
      <c r="E171" s="77"/>
      <c r="F171" s="77"/>
      <c r="G171" s="77"/>
      <c r="H171" s="176"/>
      <c r="I171" s="77"/>
      <c r="J171" s="90"/>
      <c r="K171" s="91"/>
      <c r="L171" s="91"/>
      <c r="M171" s="77"/>
      <c r="N171" s="77"/>
      <c r="O171" s="77"/>
      <c r="P171" s="77"/>
      <c r="Q171" s="77"/>
      <c r="R171" s="77"/>
      <c r="S171" s="77"/>
      <c r="T171" s="95"/>
      <c r="U171" s="95"/>
      <c r="V171" s="95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 spans="1:32" ht="14.4" customHeight="1" x14ac:dyDescent="0.25">
      <c r="A172" s="77"/>
      <c r="B172" s="77"/>
      <c r="C172" s="77"/>
      <c r="D172" s="77"/>
      <c r="E172" s="77"/>
      <c r="F172" s="77"/>
      <c r="G172" s="77"/>
      <c r="H172" s="176"/>
      <c r="I172" s="77"/>
      <c r="J172" s="90"/>
      <c r="K172" s="91"/>
      <c r="L172" s="91"/>
      <c r="M172" s="77"/>
      <c r="N172" s="77"/>
      <c r="O172" s="77"/>
      <c r="P172" s="77"/>
      <c r="Q172" s="77"/>
      <c r="R172" s="77"/>
      <c r="S172" s="77"/>
      <c r="T172" s="95"/>
      <c r="U172" s="95"/>
      <c r="V172" s="95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 spans="1:32" ht="14.4" customHeight="1" x14ac:dyDescent="0.25">
      <c r="A173" s="77"/>
      <c r="B173" s="77"/>
      <c r="C173" s="77"/>
      <c r="D173" s="77"/>
      <c r="E173" s="77"/>
      <c r="F173" s="77"/>
      <c r="G173" s="77"/>
      <c r="H173" s="176"/>
      <c r="I173" s="77"/>
      <c r="J173" s="90"/>
      <c r="K173" s="91"/>
      <c r="L173" s="91"/>
      <c r="M173" s="77"/>
      <c r="N173" s="77"/>
      <c r="O173" s="77"/>
      <c r="P173" s="77"/>
      <c r="Q173" s="77"/>
      <c r="R173" s="77"/>
      <c r="S173" s="77"/>
      <c r="T173" s="95"/>
      <c r="U173" s="95"/>
      <c r="V173" s="95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 spans="1:32" ht="14.4" customHeight="1" x14ac:dyDescent="0.25">
      <c r="A174" s="77"/>
      <c r="B174" s="77"/>
      <c r="C174" s="77"/>
      <c r="D174" s="77"/>
      <c r="E174" s="77"/>
      <c r="F174" s="77"/>
      <c r="G174" s="77"/>
      <c r="H174" s="176"/>
      <c r="I174" s="77"/>
      <c r="J174" s="90"/>
      <c r="K174" s="91"/>
      <c r="L174" s="91"/>
      <c r="M174" s="77"/>
      <c r="N174" s="77"/>
      <c r="O174" s="77"/>
      <c r="P174" s="77"/>
      <c r="Q174" s="77"/>
      <c r="R174" s="77"/>
      <c r="S174" s="77"/>
      <c r="T174" s="95"/>
      <c r="U174" s="95"/>
      <c r="V174" s="95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 spans="1:32" ht="14.4" customHeight="1" x14ac:dyDescent="0.25">
      <c r="A175" s="77"/>
      <c r="B175" s="77"/>
      <c r="C175" s="77"/>
      <c r="D175" s="77"/>
      <c r="E175" s="77"/>
      <c r="F175" s="77"/>
      <c r="G175" s="77"/>
      <c r="H175" s="176"/>
      <c r="I175" s="77"/>
      <c r="J175" s="90"/>
      <c r="K175" s="91"/>
      <c r="L175" s="91"/>
      <c r="M175" s="77"/>
      <c r="N175" s="77"/>
      <c r="O175" s="77"/>
      <c r="P175" s="77"/>
      <c r="Q175" s="77"/>
      <c r="R175" s="77"/>
      <c r="S175" s="77"/>
      <c r="T175" s="95"/>
      <c r="U175" s="95"/>
      <c r="V175" s="95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 spans="1:32" ht="14.4" customHeight="1" x14ac:dyDescent="0.25">
      <c r="A176" s="77"/>
      <c r="B176" s="77"/>
      <c r="C176" s="77"/>
      <c r="D176" s="77"/>
      <c r="E176" s="77"/>
      <c r="F176" s="77"/>
      <c r="G176" s="77"/>
      <c r="H176" s="176"/>
      <c r="I176" s="77"/>
      <c r="J176" s="90"/>
      <c r="K176" s="91"/>
      <c r="L176" s="91"/>
      <c r="M176" s="77"/>
      <c r="N176" s="77"/>
      <c r="O176" s="77"/>
      <c r="P176" s="77"/>
      <c r="Q176" s="77"/>
      <c r="R176" s="77"/>
      <c r="S176" s="77"/>
      <c r="T176" s="95"/>
      <c r="U176" s="95"/>
      <c r="V176" s="95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 spans="1:32" ht="14.4" customHeight="1" x14ac:dyDescent="0.25">
      <c r="A177" s="77"/>
      <c r="B177" s="77"/>
      <c r="C177" s="77"/>
      <c r="D177" s="77"/>
      <c r="E177" s="77"/>
      <c r="F177" s="77"/>
      <c r="G177" s="77"/>
      <c r="H177" s="176"/>
      <c r="I177" s="77"/>
      <c r="J177" s="90"/>
      <c r="K177" s="91"/>
      <c r="L177" s="91"/>
      <c r="M177" s="77"/>
      <c r="N177" s="77"/>
      <c r="O177" s="77"/>
      <c r="P177" s="77"/>
      <c r="Q177" s="77"/>
      <c r="R177" s="77"/>
      <c r="S177" s="77"/>
      <c r="T177" s="95"/>
      <c r="U177" s="95"/>
      <c r="V177" s="95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 spans="1:32" ht="14.4" customHeight="1" x14ac:dyDescent="0.25">
      <c r="A178" s="77"/>
      <c r="B178" s="77"/>
      <c r="C178" s="77"/>
      <c r="D178" s="77"/>
      <c r="E178" s="77"/>
      <c r="F178" s="77"/>
      <c r="G178" s="77"/>
      <c r="H178" s="176"/>
      <c r="I178" s="77"/>
      <c r="J178" s="90"/>
      <c r="K178" s="91"/>
      <c r="L178" s="91"/>
      <c r="M178" s="77"/>
      <c r="N178" s="77"/>
      <c r="O178" s="77"/>
      <c r="P178" s="77"/>
      <c r="Q178" s="77"/>
      <c r="R178" s="77"/>
      <c r="S178" s="77"/>
      <c r="T178" s="95"/>
      <c r="U178" s="95"/>
      <c r="V178" s="95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 spans="1:32" ht="14.4" customHeight="1" x14ac:dyDescent="0.25">
      <c r="A179" s="77"/>
      <c r="B179" s="77"/>
      <c r="C179" s="77"/>
      <c r="D179" s="77"/>
      <c r="E179" s="77"/>
      <c r="F179" s="77"/>
      <c r="G179" s="77"/>
      <c r="H179" s="176"/>
      <c r="I179" s="77"/>
      <c r="J179" s="90"/>
      <c r="K179" s="91"/>
      <c r="L179" s="91"/>
      <c r="M179" s="77"/>
      <c r="N179" s="77"/>
      <c r="O179" s="77"/>
      <c r="P179" s="77"/>
      <c r="Q179" s="77"/>
      <c r="R179" s="77"/>
      <c r="S179" s="77"/>
      <c r="T179" s="95"/>
      <c r="U179" s="95"/>
      <c r="V179" s="95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 spans="1:32" ht="14.4" customHeight="1" x14ac:dyDescent="0.25">
      <c r="A180" s="77"/>
      <c r="B180" s="77"/>
      <c r="C180" s="77"/>
      <c r="D180" s="77"/>
      <c r="E180" s="77"/>
      <c r="F180" s="77"/>
      <c r="G180" s="77"/>
      <c r="H180" s="176"/>
      <c r="I180" s="77"/>
      <c r="J180" s="90"/>
      <c r="K180" s="91"/>
      <c r="L180" s="91"/>
      <c r="M180" s="77"/>
      <c r="N180" s="77"/>
      <c r="O180" s="77"/>
      <c r="P180" s="77"/>
      <c r="Q180" s="77"/>
      <c r="R180" s="77"/>
      <c r="S180" s="77"/>
      <c r="T180" s="95"/>
      <c r="U180" s="95"/>
      <c r="V180" s="95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 spans="1:32" ht="14.4" customHeight="1" x14ac:dyDescent="0.25">
      <c r="A181" s="77"/>
      <c r="B181" s="77"/>
      <c r="C181" s="77"/>
      <c r="D181" s="77"/>
      <c r="E181" s="77"/>
      <c r="F181" s="77"/>
      <c r="G181" s="77"/>
      <c r="H181" s="176"/>
      <c r="I181" s="77"/>
      <c r="J181" s="90"/>
      <c r="K181" s="91"/>
      <c r="L181" s="91"/>
      <c r="M181" s="77"/>
      <c r="N181" s="77"/>
      <c r="O181" s="77"/>
      <c r="P181" s="77"/>
      <c r="Q181" s="77"/>
      <c r="R181" s="77"/>
      <c r="S181" s="77"/>
      <c r="T181" s="95"/>
      <c r="U181" s="95"/>
      <c r="V181" s="95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 spans="1:32" ht="14.4" customHeight="1" x14ac:dyDescent="0.25">
      <c r="A182" s="77"/>
      <c r="B182" s="77"/>
      <c r="C182" s="77"/>
      <c r="D182" s="77"/>
      <c r="E182" s="77"/>
      <c r="F182" s="77"/>
      <c r="G182" s="77"/>
      <c r="H182" s="176"/>
      <c r="I182" s="77"/>
      <c r="J182" s="90"/>
      <c r="K182" s="91"/>
      <c r="L182" s="91"/>
      <c r="M182" s="77"/>
      <c r="N182" s="77"/>
      <c r="O182" s="77"/>
      <c r="P182" s="77"/>
      <c r="Q182" s="77"/>
      <c r="R182" s="77"/>
      <c r="S182" s="77"/>
      <c r="T182" s="95"/>
      <c r="U182" s="95"/>
      <c r="V182" s="95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 spans="1:32" ht="14.4" customHeight="1" x14ac:dyDescent="0.25">
      <c r="A183" s="77"/>
      <c r="B183" s="77"/>
      <c r="C183" s="77"/>
      <c r="D183" s="77"/>
      <c r="E183" s="77"/>
      <c r="F183" s="77"/>
      <c r="G183" s="77"/>
      <c r="H183" s="176"/>
      <c r="I183" s="77"/>
      <c r="J183" s="90"/>
      <c r="K183" s="91"/>
      <c r="L183" s="91"/>
      <c r="M183" s="77"/>
      <c r="N183" s="77"/>
      <c r="O183" s="77"/>
      <c r="P183" s="77"/>
      <c r="Q183" s="77"/>
      <c r="R183" s="77"/>
      <c r="S183" s="77"/>
      <c r="T183" s="95"/>
      <c r="U183" s="95"/>
      <c r="V183" s="95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 spans="1:32" ht="14.4" customHeight="1" x14ac:dyDescent="0.25">
      <c r="A184" s="77"/>
      <c r="B184" s="77"/>
      <c r="C184" s="77"/>
      <c r="D184" s="77"/>
      <c r="E184" s="77"/>
      <c r="F184" s="77"/>
      <c r="G184" s="77"/>
      <c r="H184" s="176"/>
      <c r="I184" s="77"/>
      <c r="J184" s="90"/>
      <c r="K184" s="91"/>
      <c r="L184" s="91"/>
      <c r="M184" s="77"/>
      <c r="N184" s="77"/>
      <c r="O184" s="77"/>
      <c r="P184" s="77"/>
      <c r="Q184" s="77"/>
      <c r="R184" s="77"/>
      <c r="S184" s="77"/>
      <c r="T184" s="95"/>
      <c r="U184" s="95"/>
      <c r="V184" s="95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 spans="1:32" ht="14.4" customHeight="1" x14ac:dyDescent="0.25">
      <c r="A185" s="77"/>
      <c r="B185" s="77"/>
      <c r="C185" s="77"/>
      <c r="D185" s="77"/>
      <c r="E185" s="77"/>
      <c r="F185" s="77"/>
      <c r="G185" s="77"/>
      <c r="H185" s="176"/>
      <c r="I185" s="77"/>
      <c r="J185" s="90"/>
      <c r="K185" s="91"/>
      <c r="L185" s="91"/>
      <c r="M185" s="77"/>
      <c r="N185" s="77"/>
      <c r="O185" s="77"/>
      <c r="P185" s="77"/>
      <c r="Q185" s="77"/>
      <c r="R185" s="77"/>
      <c r="S185" s="77"/>
      <c r="T185" s="95"/>
      <c r="U185" s="95"/>
      <c r="V185" s="95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 spans="1:32" ht="14.4" customHeight="1" x14ac:dyDescent="0.25">
      <c r="A186" s="77"/>
      <c r="B186" s="77"/>
      <c r="C186" s="77"/>
      <c r="D186" s="77"/>
      <c r="E186" s="77"/>
      <c r="F186" s="77"/>
      <c r="G186" s="77"/>
      <c r="H186" s="176"/>
      <c r="I186" s="77"/>
      <c r="J186" s="90"/>
      <c r="K186" s="91"/>
      <c r="L186" s="91"/>
      <c r="M186" s="77"/>
      <c r="N186" s="77"/>
      <c r="O186" s="77"/>
      <c r="P186" s="77"/>
      <c r="Q186" s="77"/>
      <c r="R186" s="77"/>
      <c r="S186" s="77"/>
      <c r="T186" s="95"/>
      <c r="U186" s="95"/>
      <c r="V186" s="95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 spans="1:32" ht="14.4" customHeight="1" x14ac:dyDescent="0.25">
      <c r="A187" s="77"/>
      <c r="B187" s="77"/>
      <c r="C187" s="77"/>
      <c r="D187" s="77"/>
      <c r="E187" s="77"/>
      <c r="F187" s="77"/>
      <c r="G187" s="77"/>
      <c r="H187" s="176"/>
      <c r="I187" s="77"/>
      <c r="J187" s="90"/>
      <c r="K187" s="91"/>
      <c r="L187" s="91"/>
      <c r="M187" s="77"/>
      <c r="N187" s="77"/>
      <c r="O187" s="77"/>
      <c r="P187" s="77"/>
      <c r="Q187" s="77"/>
      <c r="R187" s="77"/>
      <c r="S187" s="77"/>
      <c r="T187" s="95"/>
      <c r="U187" s="95"/>
      <c r="V187" s="95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 spans="1:32" ht="14.4" customHeight="1" x14ac:dyDescent="0.25">
      <c r="A188" s="77"/>
      <c r="B188" s="77"/>
      <c r="C188" s="77"/>
      <c r="D188" s="77"/>
      <c r="E188" s="77"/>
      <c r="F188" s="77"/>
      <c r="G188" s="77"/>
      <c r="H188" s="176"/>
      <c r="I188" s="77"/>
      <c r="J188" s="90"/>
      <c r="K188" s="91"/>
      <c r="L188" s="91"/>
      <c r="M188" s="77"/>
      <c r="N188" s="77"/>
      <c r="O188" s="77"/>
      <c r="P188" s="77"/>
      <c r="Q188" s="77"/>
      <c r="R188" s="77"/>
      <c r="S188" s="77"/>
      <c r="T188" s="95"/>
      <c r="U188" s="95"/>
      <c r="V188" s="95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 spans="1:32" ht="14.4" customHeight="1" x14ac:dyDescent="0.25">
      <c r="A189" s="77"/>
      <c r="B189" s="77"/>
      <c r="C189" s="77"/>
      <c r="D189" s="77"/>
      <c r="E189" s="77"/>
      <c r="F189" s="77"/>
      <c r="G189" s="77"/>
      <c r="H189" s="176"/>
      <c r="I189" s="77"/>
      <c r="J189" s="90"/>
      <c r="K189" s="91"/>
      <c r="L189" s="91"/>
      <c r="M189" s="77"/>
      <c r="N189" s="77"/>
      <c r="O189" s="77"/>
      <c r="P189" s="77"/>
      <c r="Q189" s="77"/>
      <c r="R189" s="77"/>
      <c r="S189" s="77"/>
      <c r="T189" s="95"/>
      <c r="U189" s="95"/>
      <c r="V189" s="95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 spans="1:32" ht="14.4" customHeight="1" x14ac:dyDescent="0.25">
      <c r="A190" s="77"/>
      <c r="B190" s="77"/>
      <c r="C190" s="77"/>
      <c r="D190" s="77"/>
      <c r="E190" s="77"/>
      <c r="F190" s="77"/>
      <c r="G190" s="77"/>
      <c r="H190" s="176"/>
      <c r="I190" s="77"/>
      <c r="J190" s="90"/>
      <c r="K190" s="91"/>
      <c r="L190" s="91"/>
      <c r="M190" s="77"/>
      <c r="N190" s="77"/>
      <c r="O190" s="77"/>
      <c r="P190" s="77"/>
      <c r="Q190" s="77"/>
      <c r="R190" s="77"/>
      <c r="S190" s="77"/>
      <c r="T190" s="95"/>
      <c r="U190" s="95"/>
      <c r="V190" s="95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 spans="1:32" ht="14.4" customHeight="1" x14ac:dyDescent="0.25">
      <c r="A191" s="77"/>
      <c r="B191" s="77"/>
      <c r="C191" s="77"/>
      <c r="D191" s="77"/>
      <c r="E191" s="77"/>
      <c r="F191" s="77"/>
      <c r="G191" s="77"/>
      <c r="H191" s="176"/>
      <c r="I191" s="77"/>
      <c r="J191" s="90"/>
      <c r="K191" s="91"/>
      <c r="L191" s="91"/>
      <c r="M191" s="77"/>
      <c r="N191" s="77"/>
      <c r="O191" s="77"/>
      <c r="P191" s="77"/>
      <c r="Q191" s="77"/>
      <c r="R191" s="77"/>
      <c r="S191" s="77"/>
      <c r="T191" s="95"/>
      <c r="U191" s="95"/>
      <c r="V191" s="95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 spans="1:32" ht="14.4" customHeight="1" x14ac:dyDescent="0.25">
      <c r="A192" s="77"/>
      <c r="B192" s="77"/>
      <c r="C192" s="77"/>
      <c r="D192" s="77"/>
      <c r="E192" s="77"/>
      <c r="F192" s="77"/>
      <c r="G192" s="77"/>
      <c r="H192" s="176"/>
      <c r="I192" s="77"/>
      <c r="J192" s="90"/>
      <c r="K192" s="91"/>
      <c r="L192" s="91"/>
      <c r="M192" s="77"/>
      <c r="N192" s="77"/>
      <c r="O192" s="77"/>
      <c r="P192" s="77"/>
      <c r="Q192" s="77"/>
      <c r="R192" s="77"/>
      <c r="S192" s="77"/>
      <c r="T192" s="95"/>
      <c r="U192" s="95"/>
      <c r="V192" s="95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 spans="1:32" ht="14.4" customHeight="1" x14ac:dyDescent="0.25">
      <c r="A193" s="77"/>
      <c r="B193" s="77"/>
      <c r="C193" s="77"/>
      <c r="D193" s="77"/>
      <c r="E193" s="77"/>
      <c r="F193" s="77"/>
      <c r="G193" s="77"/>
      <c r="H193" s="176"/>
      <c r="I193" s="77"/>
      <c r="J193" s="90"/>
      <c r="K193" s="91"/>
      <c r="L193" s="91"/>
      <c r="M193" s="77"/>
      <c r="N193" s="77"/>
      <c r="O193" s="77"/>
      <c r="P193" s="77"/>
      <c r="Q193" s="77"/>
      <c r="R193" s="77"/>
      <c r="S193" s="77"/>
      <c r="T193" s="95"/>
      <c r="U193" s="95"/>
      <c r="V193" s="95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 spans="1:32" ht="14.4" customHeight="1" x14ac:dyDescent="0.25">
      <c r="A194" s="77"/>
      <c r="B194" s="77"/>
      <c r="C194" s="77"/>
      <c r="D194" s="77"/>
      <c r="E194" s="77"/>
      <c r="F194" s="77"/>
      <c r="G194" s="77"/>
      <c r="H194" s="176"/>
      <c r="I194" s="77"/>
      <c r="J194" s="90"/>
      <c r="K194" s="91"/>
      <c r="L194" s="91"/>
      <c r="M194" s="77"/>
      <c r="N194" s="77"/>
      <c r="O194" s="77"/>
      <c r="P194" s="77"/>
      <c r="Q194" s="77"/>
      <c r="R194" s="77"/>
      <c r="S194" s="77"/>
      <c r="T194" s="95"/>
      <c r="U194" s="95"/>
      <c r="V194" s="95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 spans="1:32" ht="14.4" customHeight="1" x14ac:dyDescent="0.25">
      <c r="A195" s="77"/>
      <c r="B195" s="77"/>
      <c r="C195" s="77"/>
      <c r="D195" s="77"/>
      <c r="E195" s="77"/>
      <c r="F195" s="77"/>
      <c r="G195" s="77"/>
      <c r="H195" s="176"/>
      <c r="I195" s="77"/>
      <c r="J195" s="90"/>
      <c r="K195" s="91"/>
      <c r="L195" s="91"/>
      <c r="M195" s="77"/>
      <c r="N195" s="77"/>
      <c r="O195" s="77"/>
      <c r="P195" s="77"/>
      <c r="Q195" s="77"/>
      <c r="R195" s="77"/>
      <c r="S195" s="77"/>
      <c r="T195" s="95"/>
      <c r="U195" s="95"/>
      <c r="V195" s="95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 spans="1:32" ht="14.4" customHeight="1" x14ac:dyDescent="0.25">
      <c r="A196" s="77"/>
      <c r="B196" s="77"/>
      <c r="C196" s="77"/>
      <c r="D196" s="77"/>
      <c r="E196" s="77"/>
      <c r="F196" s="77"/>
      <c r="G196" s="77"/>
      <c r="H196" s="176"/>
      <c r="I196" s="77"/>
      <c r="J196" s="90"/>
      <c r="K196" s="91"/>
      <c r="L196" s="91"/>
      <c r="M196" s="77"/>
      <c r="N196" s="77"/>
      <c r="O196" s="77"/>
      <c r="P196" s="77"/>
      <c r="Q196" s="77"/>
      <c r="R196" s="77"/>
      <c r="S196" s="77"/>
      <c r="T196" s="95"/>
      <c r="U196" s="95"/>
      <c r="V196" s="95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 spans="1:32" ht="14.4" customHeight="1" x14ac:dyDescent="0.25">
      <c r="A197" s="77"/>
      <c r="B197" s="77"/>
      <c r="C197" s="77"/>
      <c r="D197" s="77"/>
      <c r="E197" s="77"/>
      <c r="F197" s="77"/>
      <c r="G197" s="77"/>
      <c r="H197" s="176"/>
      <c r="I197" s="77"/>
      <c r="J197" s="90"/>
      <c r="K197" s="91"/>
      <c r="L197" s="91"/>
      <c r="M197" s="77"/>
      <c r="N197" s="77"/>
      <c r="O197" s="77"/>
      <c r="P197" s="77"/>
      <c r="Q197" s="77"/>
      <c r="R197" s="77"/>
      <c r="S197" s="77"/>
      <c r="T197" s="95"/>
      <c r="U197" s="95"/>
      <c r="V197" s="95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 spans="1:32" ht="14.4" customHeight="1" x14ac:dyDescent="0.25">
      <c r="A198" s="77"/>
      <c r="B198" s="77"/>
      <c r="C198" s="77"/>
      <c r="D198" s="77"/>
      <c r="E198" s="77"/>
      <c r="F198" s="77"/>
      <c r="G198" s="77"/>
      <c r="H198" s="176"/>
      <c r="I198" s="77"/>
      <c r="J198" s="90"/>
      <c r="K198" s="91"/>
      <c r="L198" s="91"/>
      <c r="M198" s="77"/>
      <c r="N198" s="77"/>
      <c r="O198" s="77"/>
      <c r="P198" s="77"/>
      <c r="Q198" s="77"/>
      <c r="R198" s="77"/>
      <c r="S198" s="77"/>
      <c r="T198" s="95"/>
      <c r="U198" s="95"/>
      <c r="V198" s="95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 spans="1:32" ht="14.4" customHeight="1" x14ac:dyDescent="0.25">
      <c r="A199" s="77"/>
      <c r="B199" s="77"/>
      <c r="C199" s="77"/>
      <c r="D199" s="77"/>
      <c r="E199" s="77"/>
      <c r="F199" s="77"/>
      <c r="G199" s="77"/>
      <c r="H199" s="176"/>
      <c r="I199" s="77"/>
      <c r="J199" s="90"/>
      <c r="K199" s="91"/>
      <c r="L199" s="91"/>
      <c r="M199" s="77"/>
      <c r="N199" s="77"/>
      <c r="O199" s="77"/>
      <c r="P199" s="77"/>
      <c r="Q199" s="77"/>
      <c r="R199" s="77"/>
      <c r="S199" s="77"/>
      <c r="T199" s="95"/>
      <c r="U199" s="95"/>
      <c r="V199" s="95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 spans="1:32" ht="14.4" customHeight="1" x14ac:dyDescent="0.25">
      <c r="A200" s="77"/>
      <c r="B200" s="77"/>
      <c r="C200" s="77"/>
      <c r="D200" s="77"/>
      <c r="E200" s="77"/>
      <c r="F200" s="77"/>
      <c r="G200" s="77"/>
      <c r="H200" s="176"/>
      <c r="I200" s="77"/>
      <c r="J200" s="90"/>
      <c r="K200" s="91"/>
      <c r="L200" s="91"/>
      <c r="M200" s="77"/>
      <c r="N200" s="77"/>
      <c r="O200" s="77"/>
      <c r="P200" s="77"/>
      <c r="Q200" s="77"/>
      <c r="R200" s="77"/>
      <c r="S200" s="77"/>
      <c r="T200" s="95"/>
      <c r="U200" s="95"/>
      <c r="V200" s="95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 spans="1:32" ht="14.4" customHeight="1" x14ac:dyDescent="0.25">
      <c r="A201" s="77"/>
      <c r="B201" s="77"/>
      <c r="C201" s="77"/>
      <c r="D201" s="77"/>
      <c r="E201" s="77"/>
      <c r="F201" s="77"/>
      <c r="G201" s="77"/>
      <c r="H201" s="176"/>
      <c r="I201" s="77"/>
      <c r="J201" s="90"/>
      <c r="K201" s="91"/>
      <c r="L201" s="91"/>
      <c r="M201" s="77"/>
      <c r="N201" s="77"/>
      <c r="O201" s="77"/>
      <c r="P201" s="77"/>
      <c r="Q201" s="77"/>
      <c r="R201" s="77"/>
      <c r="S201" s="77"/>
      <c r="T201" s="95"/>
      <c r="U201" s="95"/>
      <c r="V201" s="95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 spans="1:32" ht="14.4" customHeight="1" x14ac:dyDescent="0.25">
      <c r="A202" s="77"/>
      <c r="B202" s="77"/>
      <c r="C202" s="77"/>
      <c r="D202" s="77"/>
      <c r="E202" s="77"/>
      <c r="F202" s="77"/>
      <c r="G202" s="77"/>
      <c r="H202" s="176"/>
      <c r="I202" s="77"/>
      <c r="J202" s="90"/>
      <c r="K202" s="91"/>
      <c r="L202" s="91"/>
      <c r="M202" s="77"/>
      <c r="N202" s="77"/>
      <c r="O202" s="77"/>
      <c r="P202" s="77"/>
      <c r="Q202" s="77"/>
      <c r="R202" s="77"/>
      <c r="S202" s="77"/>
      <c r="T202" s="95"/>
      <c r="U202" s="95"/>
      <c r="V202" s="95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 spans="1:32" ht="14.4" customHeight="1" x14ac:dyDescent="0.25">
      <c r="A203" s="77"/>
      <c r="B203" s="77"/>
      <c r="C203" s="77"/>
      <c r="D203" s="77"/>
      <c r="E203" s="77"/>
      <c r="F203" s="77"/>
      <c r="G203" s="77"/>
      <c r="H203" s="176"/>
      <c r="I203" s="77"/>
      <c r="J203" s="90"/>
      <c r="K203" s="91"/>
      <c r="L203" s="91"/>
      <c r="M203" s="77"/>
      <c r="N203" s="77"/>
      <c r="O203" s="77"/>
      <c r="P203" s="77"/>
      <c r="Q203" s="77"/>
      <c r="R203" s="77"/>
      <c r="S203" s="77"/>
      <c r="T203" s="95"/>
      <c r="U203" s="95"/>
      <c r="V203" s="95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 spans="1:32" ht="14.4" customHeight="1" x14ac:dyDescent="0.25">
      <c r="A204" s="77"/>
      <c r="B204" s="77"/>
      <c r="C204" s="77"/>
      <c r="D204" s="77"/>
      <c r="E204" s="77"/>
      <c r="F204" s="77"/>
      <c r="G204" s="77"/>
      <c r="H204" s="176"/>
      <c r="I204" s="77"/>
      <c r="J204" s="90"/>
      <c r="K204" s="91"/>
      <c r="L204" s="91"/>
      <c r="M204" s="77"/>
      <c r="N204" s="77"/>
      <c r="O204" s="77"/>
      <c r="P204" s="77"/>
      <c r="Q204" s="77"/>
      <c r="R204" s="77"/>
      <c r="S204" s="77"/>
      <c r="T204" s="95"/>
      <c r="U204" s="95"/>
      <c r="V204" s="95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 spans="1:32" ht="14.4" customHeight="1" x14ac:dyDescent="0.25">
      <c r="A205" s="77"/>
      <c r="B205" s="77"/>
      <c r="C205" s="77"/>
      <c r="D205" s="77"/>
      <c r="E205" s="77"/>
      <c r="F205" s="77"/>
      <c r="G205" s="77"/>
      <c r="H205" s="176"/>
      <c r="I205" s="77"/>
      <c r="J205" s="90"/>
      <c r="K205" s="91"/>
      <c r="L205" s="91"/>
      <c r="M205" s="77"/>
      <c r="N205" s="77"/>
      <c r="O205" s="77"/>
      <c r="P205" s="77"/>
      <c r="Q205" s="77"/>
      <c r="R205" s="77"/>
      <c r="S205" s="77"/>
      <c r="T205" s="95"/>
      <c r="U205" s="95"/>
      <c r="V205" s="95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 spans="1:32" ht="14.4" customHeight="1" x14ac:dyDescent="0.25">
      <c r="A206" s="77"/>
      <c r="B206" s="77"/>
      <c r="C206" s="77"/>
      <c r="D206" s="77"/>
      <c r="E206" s="77"/>
      <c r="F206" s="77"/>
      <c r="G206" s="77"/>
      <c r="H206" s="176"/>
      <c r="I206" s="77"/>
      <c r="J206" s="90"/>
      <c r="K206" s="91"/>
      <c r="L206" s="91"/>
      <c r="M206" s="77"/>
      <c r="N206" s="77"/>
      <c r="O206" s="77"/>
      <c r="P206" s="77"/>
      <c r="Q206" s="77"/>
      <c r="R206" s="77"/>
      <c r="S206" s="77"/>
      <c r="T206" s="95"/>
      <c r="U206" s="95"/>
      <c r="V206" s="95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 spans="1:32" ht="14.4" customHeight="1" x14ac:dyDescent="0.25">
      <c r="A207" s="77"/>
      <c r="B207" s="77"/>
      <c r="C207" s="77"/>
      <c r="D207" s="77"/>
      <c r="E207" s="77"/>
      <c r="F207" s="77"/>
      <c r="G207" s="77"/>
      <c r="H207" s="176"/>
      <c r="I207" s="77"/>
      <c r="J207" s="90"/>
      <c r="K207" s="91"/>
      <c r="L207" s="91"/>
      <c r="M207" s="77"/>
      <c r="N207" s="77"/>
      <c r="O207" s="77"/>
      <c r="P207" s="77"/>
      <c r="Q207" s="77"/>
      <c r="R207" s="77"/>
      <c r="S207" s="77"/>
      <c r="T207" s="95"/>
      <c r="U207" s="95"/>
      <c r="V207" s="95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 spans="1:32" ht="14.4" customHeight="1" x14ac:dyDescent="0.25">
      <c r="A208" s="77"/>
      <c r="B208" s="77"/>
      <c r="C208" s="77"/>
      <c r="D208" s="77"/>
      <c r="E208" s="77"/>
      <c r="F208" s="77"/>
      <c r="G208" s="77"/>
      <c r="H208" s="176"/>
      <c r="I208" s="77"/>
      <c r="J208" s="90"/>
      <c r="K208" s="91"/>
      <c r="L208" s="91"/>
      <c r="M208" s="77"/>
      <c r="N208" s="77"/>
      <c r="O208" s="77"/>
      <c r="P208" s="77"/>
      <c r="Q208" s="77"/>
      <c r="R208" s="77"/>
      <c r="S208" s="77"/>
      <c r="T208" s="95"/>
      <c r="U208" s="95"/>
      <c r="V208" s="95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 spans="1:32" ht="14.4" customHeight="1" x14ac:dyDescent="0.25">
      <c r="A209" s="77"/>
      <c r="B209" s="77"/>
      <c r="C209" s="77"/>
      <c r="D209" s="77"/>
      <c r="E209" s="77"/>
      <c r="F209" s="77"/>
      <c r="G209" s="77"/>
      <c r="H209" s="176"/>
      <c r="I209" s="77"/>
      <c r="J209" s="90"/>
      <c r="K209" s="91"/>
      <c r="L209" s="91"/>
      <c r="M209" s="77"/>
      <c r="N209" s="77"/>
      <c r="O209" s="77"/>
      <c r="P209" s="77"/>
      <c r="Q209" s="77"/>
      <c r="R209" s="77"/>
      <c r="S209" s="77"/>
      <c r="T209" s="95"/>
      <c r="U209" s="95"/>
      <c r="V209" s="95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 spans="1:32" ht="14.4" customHeight="1" x14ac:dyDescent="0.25">
      <c r="A210" s="77"/>
      <c r="B210" s="77"/>
      <c r="C210" s="77"/>
      <c r="D210" s="77"/>
      <c r="E210" s="77"/>
      <c r="F210" s="77"/>
      <c r="G210" s="77"/>
      <c r="H210" s="176"/>
      <c r="I210" s="77"/>
      <c r="J210" s="90"/>
      <c r="K210" s="91"/>
      <c r="L210" s="91"/>
      <c r="M210" s="77"/>
      <c r="N210" s="77"/>
      <c r="O210" s="77"/>
      <c r="P210" s="77"/>
      <c r="Q210" s="77"/>
      <c r="R210" s="77"/>
      <c r="S210" s="77"/>
      <c r="T210" s="95"/>
      <c r="U210" s="95"/>
      <c r="V210" s="95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 spans="1:32" ht="14.4" customHeight="1" x14ac:dyDescent="0.25">
      <c r="A211" s="77"/>
      <c r="B211" s="77"/>
      <c r="C211" s="77"/>
      <c r="D211" s="77"/>
      <c r="E211" s="77"/>
      <c r="F211" s="77"/>
      <c r="G211" s="77"/>
      <c r="H211" s="176"/>
      <c r="I211" s="77"/>
      <c r="J211" s="90"/>
      <c r="K211" s="91"/>
      <c r="L211" s="91"/>
      <c r="M211" s="77"/>
      <c r="N211" s="77"/>
      <c r="O211" s="77"/>
      <c r="P211" s="77"/>
      <c r="Q211" s="77"/>
      <c r="R211" s="77"/>
      <c r="S211" s="77"/>
      <c r="T211" s="95"/>
      <c r="U211" s="95"/>
      <c r="V211" s="95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 spans="1:32" ht="14.4" customHeight="1" x14ac:dyDescent="0.25">
      <c r="A212" s="77"/>
      <c r="B212" s="77"/>
      <c r="C212" s="77"/>
      <c r="D212" s="77"/>
      <c r="E212" s="77"/>
      <c r="F212" s="77"/>
      <c r="G212" s="77"/>
      <c r="H212" s="176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 spans="1:32" ht="14.4" customHeight="1" x14ac:dyDescent="0.25">
      <c r="A213" s="77"/>
      <c r="B213" s="77"/>
      <c r="C213" s="77"/>
      <c r="D213" s="77"/>
      <c r="E213" s="77"/>
      <c r="F213" s="77"/>
      <c r="G213" s="77"/>
      <c r="H213" s="176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 spans="1:32" ht="14.4" customHeight="1" x14ac:dyDescent="0.25">
      <c r="A214" s="77"/>
      <c r="B214" s="77"/>
      <c r="C214" s="77"/>
      <c r="D214" s="77"/>
      <c r="E214" s="77"/>
      <c r="F214" s="77"/>
      <c r="G214" s="77"/>
      <c r="H214" s="176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 spans="1:32" ht="14.4" customHeight="1" x14ac:dyDescent="0.25">
      <c r="A215" s="77"/>
      <c r="B215" s="77"/>
      <c r="C215" s="77"/>
      <c r="D215" s="77"/>
      <c r="E215" s="77"/>
      <c r="F215" s="77"/>
      <c r="G215" s="77"/>
      <c r="H215" s="176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 spans="1:32" ht="14.4" customHeight="1" x14ac:dyDescent="0.25">
      <c r="A216" s="77"/>
      <c r="B216" s="77"/>
      <c r="C216" s="77"/>
      <c r="D216" s="77"/>
      <c r="E216" s="77"/>
      <c r="F216" s="77"/>
      <c r="G216" s="77"/>
      <c r="H216" s="176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 spans="1:32" ht="14.4" customHeight="1" x14ac:dyDescent="0.25">
      <c r="A217" s="77"/>
      <c r="B217" s="77"/>
      <c r="C217" s="77"/>
      <c r="D217" s="77"/>
      <c r="E217" s="77"/>
      <c r="F217" s="77"/>
      <c r="G217" s="77"/>
      <c r="H217" s="176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 spans="1:32" ht="14.4" customHeight="1" x14ac:dyDescent="0.25">
      <c r="A218" s="77"/>
      <c r="B218" s="77"/>
      <c r="C218" s="77"/>
      <c r="D218" s="77"/>
      <c r="E218" s="77"/>
      <c r="F218" s="77"/>
      <c r="G218" s="77"/>
      <c r="H218" s="176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 spans="1:32" ht="14.4" customHeight="1" x14ac:dyDescent="0.25">
      <c r="A219" s="77"/>
      <c r="B219" s="77"/>
      <c r="C219" s="77"/>
      <c r="D219" s="77"/>
      <c r="E219" s="77"/>
      <c r="F219" s="77"/>
      <c r="G219" s="77"/>
      <c r="H219" s="176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 spans="1:32" ht="14.4" customHeight="1" x14ac:dyDescent="0.25">
      <c r="A220" s="77"/>
      <c r="B220" s="77"/>
      <c r="C220" s="77"/>
      <c r="D220" s="77"/>
      <c r="E220" s="77"/>
      <c r="F220" s="77"/>
      <c r="G220" s="77"/>
      <c r="H220" s="176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 spans="1:32" ht="14.4" customHeight="1" x14ac:dyDescent="0.25">
      <c r="A221" s="77"/>
      <c r="B221" s="77"/>
      <c r="C221" s="77"/>
      <c r="D221" s="77"/>
      <c r="E221" s="77"/>
      <c r="F221" s="77"/>
      <c r="G221" s="77"/>
      <c r="H221" s="176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 spans="1:32" ht="14.4" customHeight="1" x14ac:dyDescent="0.25">
      <c r="A222" s="77"/>
      <c r="B222" s="77"/>
      <c r="C222" s="77"/>
      <c r="D222" s="77"/>
      <c r="E222" s="77"/>
      <c r="F222" s="77"/>
      <c r="G222" s="77"/>
      <c r="H222" s="176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 spans="1:32" ht="14.4" customHeight="1" x14ac:dyDescent="0.25">
      <c r="A223" s="77"/>
      <c r="B223" s="77"/>
      <c r="C223" s="77"/>
      <c r="D223" s="77"/>
      <c r="E223" s="77"/>
      <c r="F223" s="77"/>
      <c r="G223" s="77"/>
      <c r="H223" s="176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 spans="1:32" ht="14.4" customHeight="1" x14ac:dyDescent="0.25">
      <c r="A224" s="77"/>
      <c r="B224" s="77"/>
      <c r="C224" s="77"/>
      <c r="D224" s="77"/>
      <c r="E224" s="77"/>
      <c r="F224" s="77"/>
      <c r="G224" s="77"/>
      <c r="H224" s="176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 spans="1:32" ht="14.4" customHeight="1" x14ac:dyDescent="0.25">
      <c r="A225" s="77"/>
      <c r="B225" s="77"/>
      <c r="C225" s="77"/>
      <c r="D225" s="77"/>
      <c r="E225" s="77"/>
      <c r="F225" s="77"/>
      <c r="G225" s="77"/>
      <c r="H225" s="176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 spans="1:32" ht="14.4" customHeight="1" x14ac:dyDescent="0.25">
      <c r="A226" s="77"/>
      <c r="B226" s="77"/>
      <c r="C226" s="77"/>
      <c r="D226" s="77"/>
      <c r="E226" s="77"/>
      <c r="F226" s="77"/>
      <c r="G226" s="77"/>
      <c r="H226" s="176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 spans="1:32" ht="14.4" customHeight="1" x14ac:dyDescent="0.25">
      <c r="A227" s="77"/>
      <c r="B227" s="77"/>
      <c r="C227" s="77"/>
      <c r="D227" s="77"/>
      <c r="E227" s="77"/>
      <c r="F227" s="77"/>
      <c r="G227" s="77"/>
      <c r="H227" s="176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 spans="1:32" ht="14.4" customHeight="1" x14ac:dyDescent="0.25">
      <c r="A228" s="77"/>
      <c r="B228" s="77"/>
      <c r="C228" s="77"/>
      <c r="D228" s="77"/>
      <c r="E228" s="77"/>
      <c r="F228" s="77"/>
      <c r="G228" s="77"/>
      <c r="H228" s="176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 spans="1:32" ht="14.4" customHeight="1" x14ac:dyDescent="0.25">
      <c r="A229" s="77"/>
      <c r="B229" s="77"/>
      <c r="C229" s="77"/>
      <c r="D229" s="77"/>
      <c r="E229" s="77"/>
      <c r="F229" s="77"/>
      <c r="G229" s="77"/>
      <c r="H229" s="176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 spans="1:32" ht="14.4" customHeight="1" x14ac:dyDescent="0.25">
      <c r="A230" s="77"/>
      <c r="B230" s="77"/>
      <c r="C230" s="77"/>
      <c r="D230" s="77"/>
      <c r="E230" s="77"/>
      <c r="F230" s="77"/>
      <c r="G230" s="77"/>
      <c r="H230" s="176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 spans="1:32" ht="14.4" customHeight="1" x14ac:dyDescent="0.25">
      <c r="A231" s="77"/>
      <c r="B231" s="77"/>
      <c r="C231" s="77"/>
      <c r="D231" s="77"/>
      <c r="E231" s="77"/>
      <c r="F231" s="77"/>
      <c r="G231" s="77"/>
      <c r="H231" s="176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 spans="1:32" ht="14.4" customHeight="1" x14ac:dyDescent="0.25">
      <c r="A232" s="77"/>
      <c r="B232" s="77"/>
      <c r="C232" s="77"/>
      <c r="D232" s="77"/>
      <c r="E232" s="77"/>
      <c r="F232" s="77"/>
      <c r="G232" s="77"/>
      <c r="H232" s="176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 spans="1:32" ht="14.4" customHeight="1" x14ac:dyDescent="0.25">
      <c r="A233" s="77"/>
      <c r="B233" s="77"/>
      <c r="C233" s="77"/>
      <c r="D233" s="77"/>
      <c r="E233" s="77"/>
      <c r="F233" s="77"/>
      <c r="G233" s="77"/>
      <c r="H233" s="176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 spans="1:32" ht="14.4" customHeight="1" x14ac:dyDescent="0.25">
      <c r="A234" s="77"/>
      <c r="B234" s="77"/>
      <c r="C234" s="77"/>
      <c r="D234" s="77"/>
      <c r="E234" s="77"/>
      <c r="F234" s="77"/>
      <c r="G234" s="77"/>
      <c r="H234" s="176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 spans="1:32" ht="14.4" customHeight="1" x14ac:dyDescent="0.25">
      <c r="A235" s="77"/>
      <c r="B235" s="77"/>
      <c r="C235" s="77"/>
      <c r="D235" s="77"/>
      <c r="E235" s="77"/>
      <c r="F235" s="77"/>
      <c r="G235" s="77"/>
      <c r="H235" s="176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 spans="1:32" ht="14.4" customHeight="1" x14ac:dyDescent="0.25">
      <c r="A236" s="77"/>
      <c r="B236" s="77"/>
      <c r="C236" s="77"/>
      <c r="D236" s="77"/>
      <c r="E236" s="77"/>
      <c r="F236" s="77"/>
      <c r="G236" s="77"/>
      <c r="H236" s="176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 spans="1:32" ht="14.4" customHeight="1" x14ac:dyDescent="0.25">
      <c r="A237" s="77"/>
      <c r="B237" s="77"/>
      <c r="C237" s="77"/>
      <c r="D237" s="77"/>
      <c r="E237" s="77"/>
      <c r="F237" s="77"/>
      <c r="G237" s="77"/>
      <c r="H237" s="176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 spans="1:32" ht="14.4" customHeight="1" x14ac:dyDescent="0.25">
      <c r="A238" s="77"/>
      <c r="B238" s="77"/>
      <c r="C238" s="77"/>
      <c r="D238" s="77"/>
      <c r="E238" s="77"/>
      <c r="F238" s="77"/>
      <c r="G238" s="77"/>
      <c r="H238" s="176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 spans="1:32" ht="14.4" customHeight="1" x14ac:dyDescent="0.25">
      <c r="A239" s="77"/>
      <c r="B239" s="77"/>
      <c r="C239" s="77"/>
      <c r="D239" s="77"/>
      <c r="E239" s="77"/>
      <c r="F239" s="77"/>
      <c r="G239" s="77"/>
      <c r="H239" s="176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 spans="1:32" ht="14.4" customHeight="1" x14ac:dyDescent="0.25">
      <c r="A240" s="77"/>
      <c r="B240" s="77"/>
      <c r="C240" s="77"/>
      <c r="D240" s="77"/>
      <c r="E240" s="77"/>
      <c r="F240" s="77"/>
      <c r="G240" s="77"/>
      <c r="H240" s="176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 spans="1:32" ht="14.4" customHeight="1" x14ac:dyDescent="0.25">
      <c r="A241" s="77"/>
      <c r="B241" s="77"/>
      <c r="C241" s="77"/>
      <c r="D241" s="77"/>
      <c r="E241" s="77"/>
      <c r="F241" s="77"/>
      <c r="G241" s="77"/>
      <c r="H241" s="176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 spans="1:32" ht="14.4" customHeight="1" x14ac:dyDescent="0.25">
      <c r="A242" s="77"/>
      <c r="B242" s="77"/>
      <c r="C242" s="77"/>
      <c r="D242" s="77"/>
      <c r="E242" s="77"/>
      <c r="F242" s="77"/>
      <c r="G242" s="77"/>
      <c r="H242" s="176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 spans="1:32" ht="14.4" customHeight="1" x14ac:dyDescent="0.25">
      <c r="A243" s="77"/>
      <c r="B243" s="77"/>
      <c r="C243" s="77"/>
      <c r="D243" s="77"/>
      <c r="E243" s="77"/>
      <c r="F243" s="77"/>
      <c r="G243" s="77"/>
      <c r="H243" s="176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 spans="1:32" ht="14.4" customHeight="1" x14ac:dyDescent="0.25">
      <c r="A244" s="77"/>
      <c r="B244" s="77"/>
      <c r="C244" s="77"/>
      <c r="D244" s="77"/>
      <c r="E244" s="77"/>
      <c r="F244" s="77"/>
      <c r="G244" s="77"/>
      <c r="H244" s="176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 spans="1:32" ht="14.4" customHeight="1" x14ac:dyDescent="0.25">
      <c r="A245" s="77"/>
      <c r="B245" s="77"/>
      <c r="C245" s="77"/>
      <c r="D245" s="77"/>
      <c r="E245" s="77"/>
      <c r="F245" s="77"/>
      <c r="G245" s="77"/>
      <c r="H245" s="176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 spans="1:32" ht="14.4" customHeight="1" x14ac:dyDescent="0.25">
      <c r="A246" s="77"/>
      <c r="B246" s="77"/>
      <c r="C246" s="77"/>
      <c r="D246" s="77"/>
      <c r="E246" s="77"/>
      <c r="F246" s="77"/>
      <c r="G246" s="77"/>
      <c r="H246" s="176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 spans="1:32" ht="14.4" customHeight="1" x14ac:dyDescent="0.25">
      <c r="A247" s="77"/>
      <c r="B247" s="77"/>
      <c r="C247" s="77"/>
      <c r="D247" s="77"/>
      <c r="E247" s="77"/>
      <c r="F247" s="77"/>
      <c r="G247" s="77"/>
      <c r="H247" s="176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 spans="1:32" ht="14.4" customHeight="1" x14ac:dyDescent="0.25">
      <c r="A248" s="77"/>
      <c r="B248" s="77"/>
      <c r="C248" s="77"/>
      <c r="D248" s="77"/>
      <c r="E248" s="77"/>
      <c r="F248" s="77"/>
      <c r="G248" s="77"/>
      <c r="H248" s="176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 spans="1:32" ht="14.4" customHeight="1" x14ac:dyDescent="0.25">
      <c r="A249" s="77"/>
      <c r="B249" s="77"/>
      <c r="C249" s="77"/>
      <c r="D249" s="77"/>
      <c r="E249" s="77"/>
      <c r="F249" s="77"/>
      <c r="G249" s="77"/>
      <c r="H249" s="176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</row>
    <row r="250" spans="1:32" ht="14.4" customHeight="1" x14ac:dyDescent="0.25">
      <c r="A250" s="77"/>
      <c r="B250" s="77"/>
      <c r="C250" s="77"/>
      <c r="D250" s="77"/>
      <c r="E250" s="77"/>
      <c r="F250" s="77"/>
      <c r="G250" s="77"/>
      <c r="H250" s="176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 spans="1:32" ht="14.4" customHeight="1" x14ac:dyDescent="0.25">
      <c r="A251" s="77"/>
      <c r="B251" s="77"/>
      <c r="C251" s="77"/>
      <c r="D251" s="77"/>
      <c r="E251" s="77"/>
      <c r="F251" s="77"/>
      <c r="G251" s="77"/>
      <c r="H251" s="176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 spans="1:32" ht="14.4" customHeight="1" x14ac:dyDescent="0.25">
      <c r="A252" s="77"/>
      <c r="B252" s="77"/>
      <c r="C252" s="77"/>
      <c r="D252" s="77"/>
      <c r="E252" s="77"/>
      <c r="F252" s="77"/>
      <c r="G252" s="77"/>
      <c r="H252" s="176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 spans="1:32" ht="14.4" customHeight="1" x14ac:dyDescent="0.25">
      <c r="A253" s="77"/>
      <c r="B253" s="77"/>
      <c r="C253" s="77"/>
      <c r="D253" s="77"/>
      <c r="E253" s="77"/>
      <c r="F253" s="77"/>
      <c r="G253" s="77"/>
      <c r="H253" s="176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 spans="1:32" ht="14.4" customHeight="1" x14ac:dyDescent="0.25">
      <c r="A254" s="77"/>
      <c r="B254" s="77"/>
      <c r="C254" s="77"/>
      <c r="D254" s="77"/>
      <c r="E254" s="77"/>
      <c r="F254" s="77"/>
      <c r="G254" s="77"/>
      <c r="H254" s="176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 spans="1:32" ht="14.4" customHeight="1" x14ac:dyDescent="0.25">
      <c r="A255" s="77"/>
      <c r="B255" s="77"/>
      <c r="C255" s="77"/>
      <c r="D255" s="77"/>
      <c r="E255" s="77"/>
      <c r="F255" s="77"/>
      <c r="G255" s="77"/>
      <c r="H255" s="176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 spans="1:32" ht="14.4" customHeight="1" x14ac:dyDescent="0.25">
      <c r="A256" s="77"/>
      <c r="B256" s="77"/>
      <c r="C256" s="77"/>
      <c r="D256" s="77"/>
      <c r="E256" s="77"/>
      <c r="F256" s="77"/>
      <c r="G256" s="77"/>
      <c r="H256" s="176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 spans="1:32" ht="14.4" customHeight="1" x14ac:dyDescent="0.25">
      <c r="A257" s="77"/>
      <c r="B257" s="77"/>
      <c r="C257" s="77"/>
      <c r="D257" s="77"/>
      <c r="E257" s="77"/>
      <c r="F257" s="77"/>
      <c r="G257" s="77"/>
      <c r="H257" s="176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 spans="1:32" ht="14.4" customHeight="1" x14ac:dyDescent="0.25">
      <c r="A258" s="77"/>
      <c r="B258" s="77"/>
      <c r="C258" s="77"/>
      <c r="D258" s="77"/>
      <c r="E258" s="77"/>
      <c r="F258" s="77"/>
      <c r="G258" s="77"/>
      <c r="H258" s="176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 spans="1:32" ht="14.4" customHeight="1" x14ac:dyDescent="0.25">
      <c r="A259" s="77"/>
      <c r="B259" s="77"/>
      <c r="C259" s="77"/>
      <c r="D259" s="77"/>
      <c r="E259" s="77"/>
      <c r="F259" s="77"/>
      <c r="G259" s="77"/>
      <c r="H259" s="176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 spans="1:32" ht="14.4" customHeight="1" x14ac:dyDescent="0.25">
      <c r="A260" s="77"/>
      <c r="B260" s="77"/>
      <c r="C260" s="77"/>
      <c r="D260" s="77"/>
      <c r="E260" s="77"/>
      <c r="F260" s="77"/>
      <c r="G260" s="77"/>
      <c r="H260" s="176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 spans="1:32" ht="14.4" customHeight="1" x14ac:dyDescent="0.25">
      <c r="A261" s="77"/>
      <c r="B261" s="77"/>
      <c r="C261" s="77"/>
      <c r="D261" s="77"/>
      <c r="E261" s="77"/>
      <c r="F261" s="77"/>
      <c r="G261" s="77"/>
      <c r="H261" s="176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 spans="1:32" ht="14.4" customHeight="1" x14ac:dyDescent="0.25">
      <c r="A262" s="77"/>
      <c r="B262" s="77"/>
      <c r="C262" s="77"/>
      <c r="D262" s="77"/>
      <c r="E262" s="77"/>
      <c r="F262" s="77"/>
      <c r="G262" s="77"/>
      <c r="H262" s="176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 spans="1:32" ht="14.4" customHeight="1" x14ac:dyDescent="0.25">
      <c r="A263" s="77"/>
      <c r="B263" s="77"/>
      <c r="C263" s="77"/>
      <c r="D263" s="77"/>
      <c r="E263" s="77"/>
      <c r="F263" s="77"/>
      <c r="G263" s="77"/>
      <c r="H263" s="176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 spans="1:32" ht="14.4" customHeight="1" x14ac:dyDescent="0.25">
      <c r="A264" s="77"/>
      <c r="B264" s="77"/>
      <c r="C264" s="77"/>
      <c r="D264" s="77"/>
      <c r="E264" s="77"/>
      <c r="F264" s="77"/>
      <c r="G264" s="77"/>
      <c r="H264" s="176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 spans="1:32" ht="14.4" customHeight="1" x14ac:dyDescent="0.25">
      <c r="A265" s="77"/>
      <c r="B265" s="77"/>
      <c r="C265" s="77"/>
      <c r="D265" s="77"/>
      <c r="E265" s="77"/>
      <c r="F265" s="77"/>
      <c r="G265" s="77"/>
      <c r="H265" s="176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 spans="1:32" ht="14.4" customHeight="1" x14ac:dyDescent="0.25">
      <c r="A266" s="77"/>
      <c r="B266" s="77"/>
      <c r="C266" s="77"/>
      <c r="D266" s="77"/>
      <c r="E266" s="77"/>
      <c r="F266" s="77"/>
      <c r="G266" s="77"/>
      <c r="H266" s="176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 spans="1:32" ht="14.4" customHeight="1" x14ac:dyDescent="0.25">
      <c r="A267" s="77"/>
      <c r="B267" s="77"/>
      <c r="C267" s="77"/>
      <c r="D267" s="77"/>
      <c r="E267" s="77"/>
      <c r="F267" s="77"/>
      <c r="G267" s="77"/>
      <c r="H267" s="176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 spans="1:32" ht="14.4" customHeight="1" x14ac:dyDescent="0.25">
      <c r="A268" s="77"/>
      <c r="B268" s="77"/>
      <c r="C268" s="77"/>
      <c r="D268" s="77"/>
      <c r="E268" s="77"/>
      <c r="F268" s="77"/>
      <c r="G268" s="77"/>
      <c r="H268" s="176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 spans="1:32" ht="14.4" customHeight="1" x14ac:dyDescent="0.25">
      <c r="A269" s="77"/>
      <c r="B269" s="77"/>
      <c r="C269" s="77"/>
      <c r="D269" s="77"/>
      <c r="E269" s="77"/>
      <c r="F269" s="77"/>
      <c r="G269" s="77"/>
      <c r="H269" s="176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 spans="1:32" ht="14.4" customHeight="1" x14ac:dyDescent="0.25">
      <c r="A270" s="77"/>
      <c r="B270" s="77"/>
      <c r="C270" s="77"/>
      <c r="D270" s="77"/>
      <c r="E270" s="77"/>
      <c r="F270" s="77"/>
      <c r="G270" s="77"/>
      <c r="H270" s="176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 spans="1:32" ht="14.4" customHeight="1" x14ac:dyDescent="0.25">
      <c r="A271" s="77"/>
      <c r="B271" s="77"/>
      <c r="C271" s="77"/>
      <c r="D271" s="77"/>
      <c r="E271" s="77"/>
      <c r="F271" s="77"/>
      <c r="G271" s="77"/>
      <c r="H271" s="176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 spans="1:32" ht="14.4" customHeight="1" x14ac:dyDescent="0.25">
      <c r="A272" s="77"/>
      <c r="B272" s="77"/>
      <c r="C272" s="77"/>
      <c r="D272" s="77"/>
      <c r="E272" s="77"/>
      <c r="F272" s="77"/>
      <c r="G272" s="77"/>
      <c r="H272" s="176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 spans="1:32" ht="14.4" customHeight="1" x14ac:dyDescent="0.25">
      <c r="A273" s="77"/>
      <c r="B273" s="77"/>
      <c r="C273" s="77"/>
      <c r="D273" s="77"/>
      <c r="E273" s="77"/>
      <c r="F273" s="77"/>
      <c r="G273" s="77"/>
      <c r="H273" s="176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 spans="1:32" ht="14.4" customHeight="1" x14ac:dyDescent="0.25">
      <c r="A274" s="77"/>
      <c r="B274" s="77"/>
      <c r="C274" s="77"/>
      <c r="D274" s="77"/>
      <c r="E274" s="77"/>
      <c r="F274" s="77"/>
      <c r="G274" s="77"/>
      <c r="H274" s="176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 spans="1:32" ht="14.4" customHeight="1" x14ac:dyDescent="0.25">
      <c r="A275" s="77"/>
      <c r="B275" s="77"/>
      <c r="C275" s="77"/>
      <c r="D275" s="77"/>
      <c r="E275" s="77"/>
      <c r="F275" s="77"/>
      <c r="G275" s="77"/>
      <c r="H275" s="176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 spans="1:32" ht="14.4" customHeight="1" x14ac:dyDescent="0.25">
      <c r="A276" s="77"/>
      <c r="B276" s="77"/>
      <c r="C276" s="77"/>
      <c r="D276" s="77"/>
      <c r="E276" s="77"/>
      <c r="F276" s="77"/>
      <c r="G276" s="77"/>
      <c r="H276" s="176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 spans="1:32" ht="14.4" customHeight="1" x14ac:dyDescent="0.25">
      <c r="A277" s="77"/>
      <c r="B277" s="77"/>
      <c r="C277" s="77"/>
      <c r="D277" s="77"/>
      <c r="E277" s="77"/>
      <c r="F277" s="77"/>
      <c r="G277" s="77"/>
      <c r="H277" s="176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 spans="1:32" ht="14.4" customHeight="1" x14ac:dyDescent="0.25">
      <c r="A278" s="77"/>
      <c r="B278" s="77"/>
      <c r="C278" s="77"/>
      <c r="D278" s="77"/>
      <c r="E278" s="77"/>
      <c r="F278" s="77"/>
      <c r="G278" s="77"/>
      <c r="H278" s="176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 spans="1:32" ht="14.4" customHeight="1" x14ac:dyDescent="0.25">
      <c r="A279" s="77"/>
      <c r="B279" s="77"/>
      <c r="C279" s="77"/>
      <c r="D279" s="77"/>
      <c r="E279" s="77"/>
      <c r="F279" s="77"/>
      <c r="G279" s="77"/>
      <c r="H279" s="176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 spans="1:32" ht="14.4" customHeight="1" x14ac:dyDescent="0.25">
      <c r="A280" s="77"/>
      <c r="B280" s="77"/>
      <c r="C280" s="77"/>
      <c r="D280" s="77"/>
      <c r="E280" s="77"/>
      <c r="F280" s="77"/>
      <c r="G280" s="77"/>
      <c r="H280" s="176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 spans="1:32" ht="14.4" customHeight="1" x14ac:dyDescent="0.25">
      <c r="A281" s="77"/>
      <c r="B281" s="77"/>
      <c r="C281" s="77"/>
      <c r="D281" s="77"/>
      <c r="E281" s="77"/>
      <c r="F281" s="77"/>
      <c r="G281" s="77"/>
      <c r="H281" s="176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 spans="1:32" ht="14.4" customHeight="1" x14ac:dyDescent="0.25">
      <c r="A282" s="77"/>
      <c r="B282" s="77"/>
      <c r="C282" s="77"/>
      <c r="D282" s="77"/>
      <c r="E282" s="77"/>
      <c r="F282" s="77"/>
      <c r="G282" s="77"/>
      <c r="H282" s="176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 spans="1:32" ht="14.4" customHeight="1" x14ac:dyDescent="0.25">
      <c r="A283" s="77"/>
      <c r="B283" s="77"/>
      <c r="C283" s="77"/>
      <c r="D283" s="77"/>
      <c r="E283" s="77"/>
      <c r="F283" s="77"/>
      <c r="G283" s="77"/>
      <c r="H283" s="176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 spans="1:32" ht="14.4" customHeight="1" x14ac:dyDescent="0.25">
      <c r="A284" s="77"/>
      <c r="B284" s="77"/>
      <c r="C284" s="77"/>
      <c r="D284" s="77"/>
      <c r="E284" s="77"/>
      <c r="F284" s="77"/>
      <c r="G284" s="77"/>
      <c r="H284" s="176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 spans="1:32" ht="14.4" customHeight="1" x14ac:dyDescent="0.25">
      <c r="A285" s="77"/>
      <c r="B285" s="77"/>
      <c r="C285" s="77"/>
      <c r="D285" s="77"/>
      <c r="E285" s="77"/>
      <c r="F285" s="77"/>
      <c r="G285" s="77"/>
      <c r="H285" s="176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 spans="1:32" ht="14.4" customHeight="1" x14ac:dyDescent="0.25">
      <c r="A286" s="77"/>
      <c r="B286" s="77"/>
      <c r="C286" s="77"/>
      <c r="D286" s="77"/>
      <c r="E286" s="77"/>
      <c r="F286" s="77"/>
      <c r="G286" s="77"/>
      <c r="H286" s="176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 spans="1:32" ht="14.4" customHeight="1" x14ac:dyDescent="0.25">
      <c r="A287" s="77"/>
      <c r="B287" s="77"/>
      <c r="C287" s="77"/>
      <c r="D287" s="77"/>
      <c r="E287" s="77"/>
      <c r="F287" s="77"/>
      <c r="G287" s="77"/>
      <c r="H287" s="176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 spans="1:32" ht="14.4" customHeight="1" x14ac:dyDescent="0.25">
      <c r="A288" s="77"/>
      <c r="B288" s="77"/>
      <c r="C288" s="77"/>
      <c r="D288" s="77"/>
      <c r="E288" s="77"/>
      <c r="F288" s="77"/>
      <c r="G288" s="77"/>
      <c r="H288" s="176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 spans="1:32" ht="14.4" customHeight="1" x14ac:dyDescent="0.25">
      <c r="A289" s="77"/>
      <c r="B289" s="77"/>
      <c r="C289" s="77"/>
      <c r="D289" s="77"/>
      <c r="E289" s="77"/>
      <c r="F289" s="77"/>
      <c r="G289" s="77"/>
      <c r="H289" s="176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 spans="1:32" ht="14.4" customHeight="1" x14ac:dyDescent="0.25">
      <c r="A290" s="77"/>
      <c r="B290" s="77"/>
      <c r="C290" s="77"/>
      <c r="D290" s="77"/>
      <c r="E290" s="77"/>
      <c r="F290" s="77"/>
      <c r="G290" s="77"/>
      <c r="H290" s="176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 spans="1:32" ht="14.4" customHeight="1" x14ac:dyDescent="0.25">
      <c r="A291" s="77"/>
      <c r="B291" s="77"/>
      <c r="C291" s="77"/>
      <c r="D291" s="77"/>
      <c r="E291" s="77"/>
      <c r="F291" s="77"/>
      <c r="G291" s="77"/>
      <c r="H291" s="176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 spans="1:32" ht="14.4" customHeight="1" x14ac:dyDescent="0.25">
      <c r="A292" s="77"/>
      <c r="B292" s="77"/>
      <c r="C292" s="77"/>
      <c r="D292" s="77"/>
      <c r="E292" s="77"/>
      <c r="F292" s="77"/>
      <c r="G292" s="77"/>
      <c r="H292" s="176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 spans="1:32" ht="14.4" customHeight="1" x14ac:dyDescent="0.25">
      <c r="A293" s="77"/>
      <c r="B293" s="77"/>
      <c r="C293" s="77"/>
      <c r="D293" s="77"/>
      <c r="E293" s="77"/>
      <c r="F293" s="77"/>
      <c r="G293" s="77"/>
      <c r="H293" s="176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 spans="1:32" ht="14.4" customHeight="1" x14ac:dyDescent="0.25">
      <c r="A294" s="77"/>
      <c r="B294" s="77"/>
      <c r="C294" s="77"/>
      <c r="D294" s="77"/>
      <c r="E294" s="77"/>
      <c r="F294" s="77"/>
      <c r="G294" s="77"/>
      <c r="H294" s="176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 spans="1:32" ht="14.4" customHeight="1" x14ac:dyDescent="0.25">
      <c r="A295" s="77"/>
      <c r="B295" s="77"/>
      <c r="C295" s="77"/>
      <c r="D295" s="77"/>
      <c r="E295" s="77"/>
      <c r="F295" s="77"/>
      <c r="G295" s="77"/>
      <c r="H295" s="176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 spans="1:32" ht="14.4" customHeight="1" x14ac:dyDescent="0.25">
      <c r="A296" s="77"/>
      <c r="B296" s="77"/>
      <c r="C296" s="77"/>
      <c r="D296" s="77"/>
      <c r="E296" s="77"/>
      <c r="F296" s="77"/>
      <c r="G296" s="77"/>
      <c r="H296" s="176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 spans="1:32" ht="14.4" customHeight="1" x14ac:dyDescent="0.25">
      <c r="A297" s="77"/>
      <c r="B297" s="77"/>
      <c r="C297" s="77"/>
      <c r="D297" s="77"/>
      <c r="E297" s="77"/>
      <c r="F297" s="77"/>
      <c r="G297" s="77"/>
      <c r="H297" s="176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 spans="1:32" ht="14.4" customHeight="1" x14ac:dyDescent="0.25">
      <c r="A298" s="77"/>
      <c r="B298" s="77"/>
      <c r="C298" s="77"/>
      <c r="D298" s="77"/>
      <c r="E298" s="77"/>
      <c r="F298" s="77"/>
      <c r="G298" s="77"/>
      <c r="H298" s="176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 spans="1:32" ht="14.4" customHeight="1" x14ac:dyDescent="0.25">
      <c r="A299" s="77"/>
      <c r="B299" s="77"/>
      <c r="C299" s="77"/>
      <c r="D299" s="77"/>
      <c r="E299" s="77"/>
      <c r="F299" s="77"/>
      <c r="G299" s="77"/>
      <c r="H299" s="176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 spans="1:32" ht="14.4" customHeight="1" x14ac:dyDescent="0.25">
      <c r="A300" s="77"/>
      <c r="B300" s="77"/>
      <c r="C300" s="77"/>
      <c r="D300" s="77"/>
      <c r="E300" s="77"/>
      <c r="F300" s="77"/>
      <c r="G300" s="77"/>
      <c r="H300" s="176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 spans="1:32" ht="14.4" customHeight="1" x14ac:dyDescent="0.25">
      <c r="A301" s="77"/>
      <c r="B301" s="77"/>
      <c r="C301" s="77"/>
      <c r="D301" s="77"/>
      <c r="E301" s="77"/>
      <c r="F301" s="77"/>
      <c r="G301" s="77"/>
      <c r="H301" s="176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 spans="1:32" ht="14.4" customHeight="1" x14ac:dyDescent="0.25">
      <c r="A302" s="77"/>
      <c r="B302" s="77"/>
      <c r="C302" s="77"/>
      <c r="D302" s="77"/>
      <c r="E302" s="77"/>
      <c r="F302" s="77"/>
      <c r="G302" s="77"/>
      <c r="H302" s="176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 spans="1:32" ht="14.4" customHeight="1" x14ac:dyDescent="0.25">
      <c r="A303" s="77"/>
      <c r="B303" s="77"/>
      <c r="C303" s="77"/>
      <c r="D303" s="77"/>
      <c r="E303" s="77"/>
      <c r="F303" s="77"/>
      <c r="G303" s="77"/>
      <c r="H303" s="176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 spans="1:32" ht="14.4" customHeight="1" x14ac:dyDescent="0.25">
      <c r="A304" s="77"/>
      <c r="B304" s="77"/>
      <c r="C304" s="77"/>
      <c r="D304" s="77"/>
      <c r="E304" s="77"/>
      <c r="F304" s="77"/>
      <c r="G304" s="77"/>
      <c r="H304" s="176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 spans="1:32" ht="14.4" customHeight="1" x14ac:dyDescent="0.25">
      <c r="A305" s="77"/>
      <c r="B305" s="77"/>
      <c r="C305" s="77"/>
      <c r="D305" s="77"/>
      <c r="E305" s="77"/>
      <c r="F305" s="77"/>
      <c r="G305" s="77"/>
      <c r="H305" s="176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 spans="1:32" ht="14.4" customHeight="1" x14ac:dyDescent="0.25">
      <c r="A306" s="77"/>
      <c r="B306" s="77"/>
      <c r="C306" s="77"/>
      <c r="D306" s="77"/>
      <c r="E306" s="77"/>
      <c r="F306" s="77"/>
      <c r="G306" s="77"/>
      <c r="H306" s="176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 spans="1:32" ht="14.4" customHeight="1" x14ac:dyDescent="0.25">
      <c r="A307" s="77"/>
      <c r="B307" s="77"/>
      <c r="C307" s="77"/>
      <c r="D307" s="77"/>
      <c r="E307" s="77"/>
      <c r="F307" s="77"/>
      <c r="G307" s="77"/>
      <c r="H307" s="176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 spans="1:32" ht="14.4" customHeight="1" x14ac:dyDescent="0.25">
      <c r="A308" s="77"/>
      <c r="B308" s="77"/>
      <c r="C308" s="77"/>
      <c r="D308" s="77"/>
      <c r="E308" s="77"/>
      <c r="F308" s="77"/>
      <c r="G308" s="77"/>
      <c r="H308" s="176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 spans="1:32" ht="14.4" customHeight="1" x14ac:dyDescent="0.25">
      <c r="A309" s="77"/>
      <c r="B309" s="77"/>
      <c r="C309" s="77"/>
      <c r="D309" s="77"/>
      <c r="E309" s="77"/>
      <c r="F309" s="77"/>
      <c r="G309" s="77"/>
      <c r="H309" s="176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 spans="1:32" ht="14.4" customHeight="1" x14ac:dyDescent="0.25">
      <c r="A310" s="77"/>
      <c r="B310" s="77"/>
      <c r="C310" s="77"/>
      <c r="D310" s="77"/>
      <c r="E310" s="77"/>
      <c r="F310" s="77"/>
      <c r="G310" s="77"/>
      <c r="H310" s="176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 spans="1:32" ht="14.4" customHeight="1" x14ac:dyDescent="0.25">
      <c r="A311" s="77"/>
      <c r="B311" s="77"/>
      <c r="C311" s="77"/>
      <c r="D311" s="77"/>
      <c r="E311" s="77"/>
      <c r="F311" s="77"/>
      <c r="G311" s="77"/>
      <c r="H311" s="176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 spans="1:32" ht="14.4" customHeight="1" x14ac:dyDescent="0.25">
      <c r="A312" s="77"/>
      <c r="B312" s="77"/>
      <c r="C312" s="77"/>
      <c r="D312" s="77"/>
      <c r="E312" s="77"/>
      <c r="F312" s="77"/>
      <c r="G312" s="77"/>
      <c r="H312" s="176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 spans="1:32" ht="14.4" customHeight="1" x14ac:dyDescent="0.25">
      <c r="A313" s="77"/>
      <c r="B313" s="77"/>
      <c r="C313" s="77"/>
      <c r="D313" s="77"/>
      <c r="E313" s="77"/>
      <c r="F313" s="77"/>
      <c r="G313" s="77"/>
      <c r="H313" s="176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 spans="1:32" ht="14.4" customHeight="1" x14ac:dyDescent="0.25">
      <c r="A314" s="77"/>
      <c r="B314" s="77"/>
      <c r="C314" s="77"/>
      <c r="D314" s="77"/>
      <c r="E314" s="77"/>
      <c r="F314" s="77"/>
      <c r="G314" s="77"/>
      <c r="H314" s="176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 spans="1:32" ht="14.4" customHeight="1" x14ac:dyDescent="0.25">
      <c r="A315" s="77"/>
      <c r="B315" s="77"/>
      <c r="C315" s="77"/>
      <c r="D315" s="77"/>
      <c r="E315" s="77"/>
      <c r="F315" s="77"/>
      <c r="G315" s="77"/>
      <c r="H315" s="176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 spans="1:32" ht="14.4" customHeight="1" x14ac:dyDescent="0.25">
      <c r="A316" s="77"/>
      <c r="B316" s="77"/>
      <c r="C316" s="77"/>
      <c r="D316" s="77"/>
      <c r="E316" s="77"/>
      <c r="F316" s="77"/>
      <c r="G316" s="77"/>
      <c r="H316" s="176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 spans="1:32" ht="14.4" customHeight="1" x14ac:dyDescent="0.25">
      <c r="A317" s="77"/>
      <c r="B317" s="77"/>
      <c r="C317" s="77"/>
      <c r="D317" s="77"/>
      <c r="E317" s="77"/>
      <c r="F317" s="77"/>
      <c r="G317" s="77"/>
      <c r="H317" s="176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 spans="1:32" ht="14.4" customHeight="1" x14ac:dyDescent="0.25">
      <c r="A318" s="77"/>
      <c r="B318" s="77"/>
      <c r="C318" s="77"/>
      <c r="D318" s="77"/>
      <c r="E318" s="77"/>
      <c r="F318" s="77"/>
      <c r="G318" s="77"/>
      <c r="H318" s="176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 spans="1:32" ht="14.4" customHeight="1" x14ac:dyDescent="0.25">
      <c r="A319" s="77"/>
      <c r="B319" s="77"/>
      <c r="C319" s="77"/>
      <c r="D319" s="77"/>
      <c r="E319" s="77"/>
      <c r="F319" s="77"/>
      <c r="G319" s="77"/>
      <c r="H319" s="176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 spans="1:32" ht="14.4" customHeight="1" x14ac:dyDescent="0.25">
      <c r="A320" s="77"/>
      <c r="B320" s="77"/>
      <c r="C320" s="77"/>
      <c r="D320" s="77"/>
      <c r="E320" s="77"/>
      <c r="F320" s="77"/>
      <c r="G320" s="77"/>
      <c r="H320" s="176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 spans="1:32" ht="14.4" customHeight="1" x14ac:dyDescent="0.25">
      <c r="A321" s="77"/>
      <c r="B321" s="77"/>
      <c r="C321" s="77"/>
      <c r="D321" s="77"/>
      <c r="E321" s="77"/>
      <c r="F321" s="77"/>
      <c r="G321" s="77"/>
      <c r="H321" s="176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 spans="1:32" ht="14.4" customHeight="1" x14ac:dyDescent="0.25">
      <c r="A322" s="77"/>
      <c r="B322" s="77"/>
      <c r="C322" s="77"/>
      <c r="D322" s="77"/>
      <c r="E322" s="77"/>
      <c r="F322" s="77"/>
      <c r="G322" s="77"/>
      <c r="H322" s="176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 spans="1:32" ht="14.4" customHeight="1" x14ac:dyDescent="0.25">
      <c r="A323" s="77"/>
      <c r="B323" s="77"/>
      <c r="C323" s="77"/>
      <c r="D323" s="77"/>
      <c r="E323" s="77"/>
      <c r="F323" s="77"/>
      <c r="G323" s="77"/>
      <c r="H323" s="176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 spans="1:32" ht="14.4" customHeight="1" x14ac:dyDescent="0.25">
      <c r="A324" s="77"/>
      <c r="B324" s="77"/>
      <c r="C324" s="77"/>
      <c r="D324" s="77"/>
      <c r="E324" s="77"/>
      <c r="F324" s="77"/>
      <c r="G324" s="77"/>
      <c r="H324" s="176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 spans="1:32" ht="14.4" customHeight="1" x14ac:dyDescent="0.25">
      <c r="A325" s="77"/>
      <c r="B325" s="77"/>
      <c r="C325" s="77"/>
      <c r="D325" s="77"/>
      <c r="E325" s="77"/>
      <c r="F325" s="77"/>
      <c r="G325" s="77"/>
      <c r="H325" s="176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 spans="1:32" ht="14.4" customHeight="1" x14ac:dyDescent="0.25">
      <c r="A326" s="77"/>
      <c r="B326" s="77"/>
      <c r="C326" s="77"/>
      <c r="D326" s="77"/>
      <c r="E326" s="77"/>
      <c r="F326" s="77"/>
      <c r="G326" s="77"/>
      <c r="H326" s="176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 spans="1:32" ht="14.4" customHeight="1" x14ac:dyDescent="0.25">
      <c r="A327" s="77"/>
      <c r="B327" s="77"/>
      <c r="C327" s="77"/>
      <c r="D327" s="77"/>
      <c r="E327" s="77"/>
      <c r="F327" s="77"/>
      <c r="G327" s="77"/>
      <c r="H327" s="176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 spans="1:32" ht="14.4" customHeight="1" x14ac:dyDescent="0.25">
      <c r="A328" s="77"/>
      <c r="B328" s="77"/>
      <c r="C328" s="77"/>
      <c r="D328" s="77"/>
      <c r="E328" s="77"/>
      <c r="F328" s="77"/>
      <c r="G328" s="77"/>
      <c r="H328" s="176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 spans="1:32" ht="14.4" customHeight="1" x14ac:dyDescent="0.25">
      <c r="A329" s="77"/>
      <c r="B329" s="77"/>
      <c r="C329" s="77"/>
      <c r="D329" s="77"/>
      <c r="E329" s="77"/>
      <c r="F329" s="77"/>
      <c r="G329" s="77"/>
      <c r="H329" s="176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 spans="1:32" ht="14.4" customHeight="1" x14ac:dyDescent="0.25">
      <c r="A330" s="77"/>
      <c r="B330" s="77"/>
      <c r="C330" s="77"/>
      <c r="D330" s="77"/>
      <c r="E330" s="77"/>
      <c r="F330" s="77"/>
      <c r="G330" s="77"/>
      <c r="H330" s="176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 spans="1:32" ht="14.4" customHeight="1" x14ac:dyDescent="0.25">
      <c r="A331" s="77"/>
      <c r="B331" s="77"/>
      <c r="C331" s="77"/>
      <c r="D331" s="77"/>
      <c r="E331" s="77"/>
      <c r="F331" s="77"/>
      <c r="G331" s="77"/>
      <c r="H331" s="176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 spans="1:32" ht="14.4" customHeight="1" x14ac:dyDescent="0.25">
      <c r="A332" s="77"/>
      <c r="B332" s="77"/>
      <c r="C332" s="77"/>
      <c r="D332" s="77"/>
      <c r="E332" s="77"/>
      <c r="F332" s="77"/>
      <c r="G332" s="77"/>
      <c r="H332" s="176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 spans="1:32" ht="14.4" customHeight="1" x14ac:dyDescent="0.25">
      <c r="A333" s="77"/>
      <c r="B333" s="77"/>
      <c r="C333" s="77"/>
      <c r="D333" s="77"/>
      <c r="E333" s="77"/>
      <c r="F333" s="77"/>
      <c r="G333" s="77"/>
      <c r="H333" s="176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 spans="1:32" ht="14.4" customHeight="1" x14ac:dyDescent="0.25">
      <c r="A334" s="77"/>
      <c r="B334" s="77"/>
      <c r="C334" s="77"/>
      <c r="D334" s="77"/>
      <c r="E334" s="77"/>
      <c r="F334" s="77"/>
      <c r="G334" s="77"/>
      <c r="H334" s="176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 spans="1:32" ht="14.4" customHeight="1" x14ac:dyDescent="0.25">
      <c r="A335" s="77"/>
      <c r="B335" s="77"/>
      <c r="C335" s="77"/>
      <c r="D335" s="77"/>
      <c r="E335" s="77"/>
      <c r="F335" s="77"/>
      <c r="G335" s="77"/>
      <c r="H335" s="176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 spans="1:32" ht="14.4" customHeight="1" x14ac:dyDescent="0.25">
      <c r="A336" s="77"/>
      <c r="B336" s="77"/>
      <c r="C336" s="77"/>
      <c r="D336" s="77"/>
      <c r="E336" s="77"/>
      <c r="F336" s="77"/>
      <c r="G336" s="77"/>
      <c r="H336" s="176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 spans="1:32" ht="14.4" customHeight="1" x14ac:dyDescent="0.25">
      <c r="A337" s="77"/>
      <c r="B337" s="77"/>
      <c r="C337" s="77"/>
      <c r="D337" s="77"/>
      <c r="E337" s="77"/>
      <c r="F337" s="77"/>
      <c r="G337" s="77"/>
      <c r="H337" s="176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 spans="1:32" ht="14.4" customHeight="1" x14ac:dyDescent="0.25">
      <c r="A338" s="77"/>
      <c r="B338" s="77"/>
      <c r="C338" s="77"/>
      <c r="D338" s="77"/>
      <c r="E338" s="77"/>
      <c r="F338" s="77"/>
      <c r="G338" s="77"/>
      <c r="H338" s="176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 spans="1:32" ht="14.4" customHeight="1" x14ac:dyDescent="0.25">
      <c r="A339" s="77"/>
      <c r="B339" s="77"/>
      <c r="C339" s="77"/>
      <c r="D339" s="77"/>
      <c r="E339" s="77"/>
      <c r="F339" s="77"/>
      <c r="G339" s="77"/>
      <c r="H339" s="176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 spans="1:32" ht="14.4" customHeight="1" x14ac:dyDescent="0.25">
      <c r="A340" s="77"/>
      <c r="B340" s="77"/>
      <c r="C340" s="77"/>
      <c r="D340" s="77"/>
      <c r="E340" s="77"/>
      <c r="F340" s="77"/>
      <c r="G340" s="77"/>
      <c r="H340" s="176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 spans="1:32" ht="14.4" customHeight="1" x14ac:dyDescent="0.25">
      <c r="A341" s="77"/>
      <c r="B341" s="77"/>
      <c r="C341" s="77"/>
      <c r="D341" s="77"/>
      <c r="E341" s="77"/>
      <c r="F341" s="77"/>
      <c r="G341" s="77"/>
      <c r="H341" s="176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 spans="1:32" ht="14.4" customHeight="1" x14ac:dyDescent="0.25">
      <c r="A342" s="77"/>
      <c r="B342" s="77"/>
      <c r="C342" s="77"/>
      <c r="D342" s="77"/>
      <c r="E342" s="77"/>
      <c r="F342" s="77"/>
      <c r="G342" s="77"/>
      <c r="H342" s="176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 spans="1:32" ht="14.4" customHeight="1" x14ac:dyDescent="0.25">
      <c r="A343" s="77"/>
      <c r="B343" s="77"/>
      <c r="C343" s="77"/>
      <c r="D343" s="77"/>
      <c r="E343" s="77"/>
      <c r="F343" s="77"/>
      <c r="G343" s="77"/>
      <c r="H343" s="176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 spans="1:32" ht="14.4" customHeight="1" x14ac:dyDescent="0.25">
      <c r="A344" s="77"/>
      <c r="B344" s="77"/>
      <c r="C344" s="77"/>
      <c r="D344" s="77"/>
      <c r="E344" s="77"/>
      <c r="F344" s="77"/>
      <c r="G344" s="77"/>
      <c r="H344" s="176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 spans="1:32" ht="14.4" customHeight="1" x14ac:dyDescent="0.25">
      <c r="A345" s="77"/>
      <c r="B345" s="77"/>
      <c r="C345" s="77"/>
      <c r="D345" s="77"/>
      <c r="E345" s="77"/>
      <c r="F345" s="77"/>
      <c r="G345" s="77"/>
      <c r="H345" s="176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 spans="1:32" ht="14.4" customHeight="1" x14ac:dyDescent="0.25">
      <c r="A346" s="77"/>
      <c r="B346" s="77"/>
      <c r="C346" s="77"/>
      <c r="D346" s="77"/>
      <c r="E346" s="77"/>
      <c r="F346" s="77"/>
      <c r="G346" s="77"/>
      <c r="H346" s="176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 spans="1:32" ht="14.4" customHeight="1" x14ac:dyDescent="0.25">
      <c r="A347" s="77"/>
      <c r="B347" s="77"/>
      <c r="C347" s="77"/>
      <c r="D347" s="77"/>
      <c r="E347" s="77"/>
      <c r="F347" s="77"/>
      <c r="G347" s="77"/>
      <c r="H347" s="176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 spans="1:32" ht="14.4" customHeight="1" x14ac:dyDescent="0.25">
      <c r="A348" s="77"/>
      <c r="B348" s="77"/>
      <c r="C348" s="77"/>
      <c r="D348" s="77"/>
      <c r="E348" s="77"/>
      <c r="F348" s="77"/>
      <c r="G348" s="77"/>
      <c r="H348" s="176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 spans="1:32" ht="14.4" customHeight="1" x14ac:dyDescent="0.25">
      <c r="A349" s="77"/>
      <c r="B349" s="77"/>
      <c r="C349" s="77"/>
      <c r="D349" s="77"/>
      <c r="E349" s="77"/>
      <c r="F349" s="77"/>
      <c r="G349" s="77"/>
      <c r="H349" s="176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 spans="1:32" ht="14.4" customHeight="1" x14ac:dyDescent="0.25">
      <c r="A350" s="77"/>
      <c r="B350" s="77"/>
      <c r="C350" s="77"/>
      <c r="D350" s="77"/>
      <c r="E350" s="77"/>
      <c r="F350" s="77"/>
      <c r="G350" s="77"/>
      <c r="H350" s="176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 spans="1:32" ht="14.4" customHeight="1" x14ac:dyDescent="0.25">
      <c r="A351" s="77"/>
      <c r="B351" s="77"/>
      <c r="C351" s="77"/>
      <c r="D351" s="77"/>
      <c r="E351" s="77"/>
      <c r="F351" s="77"/>
      <c r="G351" s="77"/>
      <c r="H351" s="176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 spans="1:32" ht="14.4" customHeight="1" x14ac:dyDescent="0.25">
      <c r="A352" s="77"/>
      <c r="B352" s="77"/>
      <c r="C352" s="77"/>
      <c r="D352" s="77"/>
      <c r="E352" s="77"/>
      <c r="F352" s="77"/>
      <c r="G352" s="77"/>
      <c r="H352" s="176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 spans="1:32" ht="14.4" customHeight="1" x14ac:dyDescent="0.25">
      <c r="A353" s="77"/>
      <c r="B353" s="77"/>
      <c r="C353" s="77"/>
      <c r="D353" s="77"/>
      <c r="E353" s="77"/>
      <c r="F353" s="77"/>
      <c r="G353" s="77"/>
      <c r="H353" s="176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 spans="1:32" ht="14.4" customHeight="1" x14ac:dyDescent="0.25">
      <c r="A354" s="77"/>
      <c r="B354" s="77"/>
      <c r="C354" s="77"/>
      <c r="D354" s="77"/>
      <c r="E354" s="77"/>
      <c r="F354" s="77"/>
      <c r="G354" s="77"/>
      <c r="H354" s="176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 spans="1:32" ht="14.4" customHeight="1" x14ac:dyDescent="0.25">
      <c r="A355" s="77"/>
      <c r="B355" s="77"/>
      <c r="C355" s="77"/>
      <c r="D355" s="77"/>
      <c r="E355" s="77"/>
      <c r="F355" s="77"/>
      <c r="G355" s="77"/>
      <c r="H355" s="176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 spans="1:32" ht="14.4" customHeight="1" x14ac:dyDescent="0.25">
      <c r="A356" s="77"/>
      <c r="B356" s="77"/>
      <c r="C356" s="77"/>
      <c r="D356" s="77"/>
      <c r="E356" s="77"/>
      <c r="F356" s="77"/>
      <c r="G356" s="77"/>
      <c r="H356" s="176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 spans="1:32" ht="14.4" customHeight="1" x14ac:dyDescent="0.25">
      <c r="A357" s="77"/>
      <c r="B357" s="77"/>
      <c r="C357" s="77"/>
      <c r="D357" s="77"/>
      <c r="E357" s="77"/>
      <c r="F357" s="77"/>
      <c r="G357" s="77"/>
      <c r="H357" s="176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 spans="1:32" ht="14.4" customHeight="1" x14ac:dyDescent="0.25">
      <c r="A358" s="77"/>
      <c r="B358" s="77"/>
      <c r="C358" s="77"/>
      <c r="D358" s="77"/>
      <c r="E358" s="77"/>
      <c r="F358" s="77"/>
      <c r="G358" s="77"/>
      <c r="H358" s="176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 spans="1:32" ht="14.4" customHeight="1" x14ac:dyDescent="0.25">
      <c r="A359" s="77"/>
      <c r="B359" s="77"/>
      <c r="C359" s="77"/>
      <c r="D359" s="77"/>
      <c r="E359" s="77"/>
      <c r="F359" s="77"/>
      <c r="G359" s="77"/>
      <c r="H359" s="176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 spans="1:32" ht="14.4" customHeight="1" x14ac:dyDescent="0.25">
      <c r="A360" s="77"/>
      <c r="B360" s="77"/>
      <c r="C360" s="77"/>
      <c r="D360" s="77"/>
      <c r="E360" s="77"/>
      <c r="F360" s="77"/>
      <c r="G360" s="77"/>
      <c r="H360" s="176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 spans="1:32" ht="14.4" customHeight="1" x14ac:dyDescent="0.25">
      <c r="A361" s="77"/>
      <c r="B361" s="77"/>
      <c r="C361" s="77"/>
      <c r="D361" s="77"/>
      <c r="E361" s="77"/>
      <c r="F361" s="77"/>
      <c r="G361" s="77"/>
      <c r="H361" s="176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 spans="1:32" ht="14.4" customHeight="1" x14ac:dyDescent="0.25">
      <c r="A362" s="77"/>
      <c r="B362" s="77"/>
      <c r="C362" s="77"/>
      <c r="D362" s="77"/>
      <c r="E362" s="77"/>
      <c r="F362" s="77"/>
      <c r="G362" s="77"/>
      <c r="H362" s="176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 spans="1:32" ht="14.4" customHeight="1" x14ac:dyDescent="0.25">
      <c r="A363" s="77"/>
      <c r="B363" s="77"/>
      <c r="C363" s="77"/>
      <c r="D363" s="77"/>
      <c r="E363" s="77"/>
      <c r="F363" s="77"/>
      <c r="G363" s="77"/>
      <c r="H363" s="176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 spans="1:32" ht="14.4" customHeight="1" x14ac:dyDescent="0.25">
      <c r="A364" s="77"/>
      <c r="B364" s="77"/>
      <c r="C364" s="77"/>
      <c r="D364" s="77"/>
      <c r="E364" s="77"/>
      <c r="F364" s="77"/>
      <c r="G364" s="77"/>
      <c r="H364" s="176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 spans="1:32" ht="14.4" customHeight="1" x14ac:dyDescent="0.25">
      <c r="A365" s="77"/>
      <c r="B365" s="77"/>
      <c r="C365" s="77"/>
      <c r="D365" s="77"/>
      <c r="E365" s="77"/>
      <c r="F365" s="77"/>
      <c r="G365" s="77"/>
      <c r="H365" s="176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 spans="1:32" ht="14.4" customHeight="1" x14ac:dyDescent="0.25">
      <c r="A366" s="77"/>
      <c r="B366" s="77"/>
      <c r="C366" s="77"/>
      <c r="D366" s="77"/>
      <c r="E366" s="77"/>
      <c r="F366" s="77"/>
      <c r="G366" s="77"/>
      <c r="H366" s="176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 spans="1:32" ht="14.4" customHeight="1" x14ac:dyDescent="0.25">
      <c r="A367" s="77"/>
      <c r="B367" s="77"/>
      <c r="C367" s="77"/>
      <c r="D367" s="77"/>
      <c r="E367" s="77"/>
      <c r="F367" s="77"/>
      <c r="G367" s="77"/>
      <c r="H367" s="176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 spans="1:32" ht="14.4" customHeight="1" x14ac:dyDescent="0.25">
      <c r="A368" s="77"/>
      <c r="B368" s="77"/>
      <c r="C368" s="77"/>
      <c r="D368" s="77"/>
      <c r="E368" s="77"/>
      <c r="F368" s="77"/>
      <c r="G368" s="77"/>
      <c r="H368" s="176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 spans="1:32" ht="14.4" customHeight="1" x14ac:dyDescent="0.25">
      <c r="A369" s="77"/>
      <c r="B369" s="77"/>
      <c r="C369" s="77"/>
      <c r="D369" s="77"/>
      <c r="E369" s="77"/>
      <c r="F369" s="77"/>
      <c r="G369" s="77"/>
      <c r="H369" s="176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 spans="1:32" ht="14.4" customHeight="1" x14ac:dyDescent="0.25">
      <c r="A370" s="77"/>
      <c r="B370" s="77"/>
      <c r="C370" s="77"/>
      <c r="D370" s="77"/>
      <c r="E370" s="77"/>
      <c r="F370" s="77"/>
      <c r="G370" s="77"/>
      <c r="H370" s="176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 spans="1:32" ht="14.4" customHeight="1" x14ac:dyDescent="0.25">
      <c r="A371" s="77"/>
      <c r="B371" s="77"/>
      <c r="C371" s="77"/>
      <c r="D371" s="77"/>
      <c r="E371" s="77"/>
      <c r="F371" s="77"/>
      <c r="G371" s="77"/>
      <c r="H371" s="176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 spans="1:32" ht="14.4" customHeight="1" x14ac:dyDescent="0.25">
      <c r="A372" s="77"/>
      <c r="B372" s="77"/>
      <c r="C372" s="77"/>
      <c r="D372" s="77"/>
      <c r="E372" s="77"/>
      <c r="F372" s="77"/>
      <c r="G372" s="77"/>
      <c r="H372" s="176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 spans="1:32" ht="14.4" customHeight="1" x14ac:dyDescent="0.25">
      <c r="A373" s="77"/>
      <c r="B373" s="77"/>
      <c r="C373" s="77"/>
      <c r="D373" s="77"/>
      <c r="E373" s="77"/>
      <c r="F373" s="77"/>
      <c r="G373" s="77"/>
      <c r="H373" s="176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 spans="1:32" ht="14.4" customHeight="1" x14ac:dyDescent="0.25">
      <c r="A374" s="77"/>
      <c r="B374" s="77"/>
      <c r="C374" s="77"/>
      <c r="D374" s="77"/>
      <c r="E374" s="77"/>
      <c r="F374" s="77"/>
      <c r="G374" s="77"/>
      <c r="H374" s="176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 spans="1:32" ht="14.4" customHeight="1" x14ac:dyDescent="0.25">
      <c r="A375" s="77"/>
      <c r="B375" s="77"/>
      <c r="C375" s="77"/>
      <c r="D375" s="77"/>
      <c r="E375" s="77"/>
      <c r="F375" s="77"/>
      <c r="G375" s="77"/>
      <c r="H375" s="176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 spans="1:32" ht="14.4" customHeight="1" x14ac:dyDescent="0.25">
      <c r="A376" s="77"/>
      <c r="B376" s="77"/>
      <c r="C376" s="77"/>
      <c r="D376" s="77"/>
      <c r="E376" s="77"/>
      <c r="F376" s="77"/>
      <c r="G376" s="77"/>
      <c r="H376" s="176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 spans="1:32" ht="14.4" customHeight="1" x14ac:dyDescent="0.25">
      <c r="A377" s="77"/>
      <c r="B377" s="77"/>
      <c r="C377" s="77"/>
      <c r="D377" s="77"/>
      <c r="E377" s="77"/>
      <c r="F377" s="77"/>
      <c r="G377" s="77"/>
      <c r="H377" s="176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 spans="1:32" ht="14.4" customHeight="1" x14ac:dyDescent="0.25">
      <c r="A378" s="77"/>
      <c r="B378" s="77"/>
      <c r="C378" s="77"/>
      <c r="D378" s="77"/>
      <c r="E378" s="77"/>
      <c r="F378" s="77"/>
      <c r="G378" s="77"/>
      <c r="H378" s="176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 spans="1:32" ht="14.4" customHeight="1" x14ac:dyDescent="0.25">
      <c r="A379" s="77"/>
      <c r="B379" s="77"/>
      <c r="C379" s="77"/>
      <c r="D379" s="77"/>
      <c r="E379" s="77"/>
      <c r="F379" s="77"/>
      <c r="G379" s="77"/>
      <c r="H379" s="176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 spans="1:32" ht="14.4" customHeight="1" x14ac:dyDescent="0.25">
      <c r="A380" s="77"/>
      <c r="B380" s="77"/>
      <c r="C380" s="77"/>
      <c r="D380" s="77"/>
      <c r="E380" s="77"/>
      <c r="F380" s="77"/>
      <c r="G380" s="77"/>
      <c r="H380" s="176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 spans="1:32" ht="14.4" customHeight="1" x14ac:dyDescent="0.25">
      <c r="A381" s="77"/>
      <c r="B381" s="77"/>
      <c r="C381" s="77"/>
      <c r="D381" s="77"/>
      <c r="E381" s="77"/>
      <c r="F381" s="77"/>
      <c r="G381" s="77"/>
      <c r="H381" s="176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 spans="1:32" ht="14.4" customHeight="1" x14ac:dyDescent="0.25">
      <c r="A382" s="77"/>
      <c r="B382" s="77"/>
      <c r="C382" s="77"/>
      <c r="D382" s="77"/>
      <c r="E382" s="77"/>
      <c r="F382" s="77"/>
      <c r="G382" s="77"/>
      <c r="H382" s="176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 spans="1:32" ht="14.4" customHeight="1" x14ac:dyDescent="0.25">
      <c r="A383" s="77"/>
      <c r="B383" s="77"/>
      <c r="C383" s="77"/>
      <c r="D383" s="77"/>
      <c r="E383" s="77"/>
      <c r="F383" s="77"/>
      <c r="G383" s="77"/>
      <c r="H383" s="176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 spans="1:32" ht="14.4" customHeight="1" x14ac:dyDescent="0.25">
      <c r="A384" s="77"/>
      <c r="B384" s="77"/>
      <c r="C384" s="77"/>
      <c r="D384" s="77"/>
      <c r="E384" s="77"/>
      <c r="F384" s="77"/>
      <c r="G384" s="77"/>
      <c r="H384" s="176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 spans="1:32" ht="14.4" customHeight="1" x14ac:dyDescent="0.25">
      <c r="A385" s="77"/>
      <c r="B385" s="77"/>
      <c r="C385" s="77"/>
      <c r="D385" s="77"/>
      <c r="E385" s="77"/>
      <c r="F385" s="77"/>
      <c r="G385" s="77"/>
      <c r="H385" s="176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 spans="1:32" ht="14.4" customHeight="1" x14ac:dyDescent="0.25">
      <c r="A386" s="77"/>
      <c r="B386" s="77"/>
      <c r="C386" s="77"/>
      <c r="D386" s="77"/>
      <c r="E386" s="77"/>
      <c r="F386" s="77"/>
      <c r="G386" s="77"/>
      <c r="H386" s="176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 spans="1:32" ht="14.4" customHeight="1" x14ac:dyDescent="0.25">
      <c r="A387" s="77"/>
      <c r="B387" s="77"/>
      <c r="C387" s="77"/>
      <c r="D387" s="77"/>
      <c r="E387" s="77"/>
      <c r="F387" s="77"/>
      <c r="G387" s="77"/>
      <c r="H387" s="176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 spans="1:32" ht="14.4" customHeight="1" x14ac:dyDescent="0.25">
      <c r="A388" s="77"/>
      <c r="B388" s="77"/>
      <c r="C388" s="77"/>
      <c r="D388" s="77"/>
      <c r="E388" s="77"/>
      <c r="F388" s="77"/>
      <c r="G388" s="77"/>
      <c r="H388" s="176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 spans="1:32" ht="14.4" customHeight="1" x14ac:dyDescent="0.25">
      <c r="A389" s="77"/>
      <c r="B389" s="77"/>
      <c r="C389" s="77"/>
      <c r="D389" s="77"/>
      <c r="E389" s="77"/>
      <c r="F389" s="77"/>
      <c r="G389" s="77"/>
      <c r="H389" s="176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 spans="1:32" ht="14.4" customHeight="1" x14ac:dyDescent="0.25">
      <c r="A390" s="77"/>
      <c r="B390" s="77"/>
      <c r="C390" s="77"/>
      <c r="D390" s="77"/>
      <c r="E390" s="77"/>
      <c r="F390" s="77"/>
      <c r="G390" s="77"/>
      <c r="H390" s="176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 spans="1:32" ht="14.4" customHeight="1" x14ac:dyDescent="0.25">
      <c r="A391" s="77"/>
      <c r="B391" s="77"/>
      <c r="C391" s="77"/>
      <c r="D391" s="77"/>
      <c r="E391" s="77"/>
      <c r="F391" s="77"/>
      <c r="G391" s="77"/>
      <c r="H391" s="176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 spans="1:32" ht="14.4" customHeight="1" x14ac:dyDescent="0.25">
      <c r="A392" s="77"/>
      <c r="B392" s="77"/>
      <c r="C392" s="77"/>
      <c r="D392" s="77"/>
      <c r="E392" s="77"/>
      <c r="F392" s="77"/>
      <c r="G392" s="77"/>
      <c r="H392" s="176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 spans="1:32" ht="14.4" customHeight="1" x14ac:dyDescent="0.25">
      <c r="A393" s="77"/>
      <c r="B393" s="77"/>
      <c r="C393" s="77"/>
      <c r="D393" s="77"/>
      <c r="E393" s="77"/>
      <c r="F393" s="77"/>
      <c r="G393" s="77"/>
      <c r="H393" s="176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 spans="1:32" ht="14.4" customHeight="1" x14ac:dyDescent="0.25">
      <c r="A394" s="77"/>
      <c r="B394" s="77"/>
      <c r="C394" s="77"/>
      <c r="D394" s="77"/>
      <c r="E394" s="77"/>
      <c r="F394" s="77"/>
      <c r="G394" s="77"/>
      <c r="H394" s="176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 spans="1:32" ht="14.4" customHeight="1" x14ac:dyDescent="0.25">
      <c r="A395" s="77"/>
      <c r="B395" s="77"/>
      <c r="C395" s="77"/>
      <c r="D395" s="77"/>
      <c r="E395" s="77"/>
      <c r="F395" s="77"/>
      <c r="G395" s="77"/>
      <c r="H395" s="176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 spans="1:32" ht="14.4" customHeight="1" x14ac:dyDescent="0.25">
      <c r="A396" s="77"/>
      <c r="B396" s="77"/>
      <c r="C396" s="77"/>
      <c r="D396" s="77"/>
      <c r="E396" s="77"/>
      <c r="F396" s="77"/>
      <c r="G396" s="77"/>
      <c r="H396" s="176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 spans="1:32" ht="14.4" customHeight="1" x14ac:dyDescent="0.25">
      <c r="A397" s="77"/>
      <c r="B397" s="77"/>
      <c r="C397" s="77"/>
      <c r="D397" s="77"/>
      <c r="E397" s="77"/>
      <c r="F397" s="77"/>
      <c r="G397" s="77"/>
      <c r="H397" s="176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 spans="1:32" ht="14.4" customHeight="1" x14ac:dyDescent="0.25">
      <c r="A398" s="77"/>
      <c r="B398" s="77"/>
      <c r="C398" s="77"/>
      <c r="D398" s="77"/>
      <c r="E398" s="77"/>
      <c r="F398" s="77"/>
      <c r="G398" s="77"/>
      <c r="H398" s="176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 spans="1:32" ht="14.4" customHeight="1" x14ac:dyDescent="0.25">
      <c r="A399" s="77"/>
      <c r="B399" s="77"/>
      <c r="C399" s="77"/>
      <c r="D399" s="77"/>
      <c r="E399" s="77"/>
      <c r="F399" s="77"/>
      <c r="G399" s="77"/>
      <c r="H399" s="176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 spans="1:32" ht="14.4" customHeight="1" x14ac:dyDescent="0.25">
      <c r="A400" s="77"/>
      <c r="B400" s="77"/>
      <c r="C400" s="77"/>
      <c r="D400" s="77"/>
      <c r="E400" s="77"/>
      <c r="F400" s="77"/>
      <c r="G400" s="77"/>
      <c r="H400" s="176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 spans="1:32" ht="14.4" customHeight="1" x14ac:dyDescent="0.25">
      <c r="A401" s="77"/>
      <c r="B401" s="77"/>
      <c r="C401" s="77"/>
      <c r="D401" s="77"/>
      <c r="E401" s="77"/>
      <c r="F401" s="77"/>
      <c r="G401" s="77"/>
      <c r="H401" s="176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 spans="1:32" ht="14.4" customHeight="1" x14ac:dyDescent="0.25">
      <c r="A402" s="77"/>
      <c r="B402" s="77"/>
      <c r="C402" s="77"/>
      <c r="D402" s="77"/>
      <c r="E402" s="77"/>
      <c r="F402" s="77"/>
      <c r="G402" s="77"/>
      <c r="H402" s="176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 spans="1:32" ht="14.4" customHeight="1" x14ac:dyDescent="0.25">
      <c r="A403" s="77"/>
      <c r="B403" s="77"/>
      <c r="C403" s="77"/>
      <c r="D403" s="77"/>
      <c r="E403" s="77"/>
      <c r="F403" s="77"/>
      <c r="G403" s="77"/>
      <c r="H403" s="176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 spans="1:32" ht="14.4" customHeight="1" x14ac:dyDescent="0.25">
      <c r="A404" s="77"/>
      <c r="B404" s="77"/>
      <c r="C404" s="77"/>
      <c r="D404" s="77"/>
      <c r="E404" s="77"/>
      <c r="F404" s="77"/>
      <c r="G404" s="77"/>
      <c r="H404" s="176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 spans="1:32" ht="14.4" customHeight="1" x14ac:dyDescent="0.25">
      <c r="A405" s="77"/>
      <c r="B405" s="77"/>
      <c r="C405" s="77"/>
      <c r="D405" s="77"/>
      <c r="E405" s="77"/>
      <c r="F405" s="77"/>
      <c r="G405" s="77"/>
      <c r="H405" s="176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 spans="1:32" ht="14.4" customHeight="1" x14ac:dyDescent="0.25">
      <c r="A406" s="77"/>
      <c r="B406" s="77"/>
      <c r="C406" s="77"/>
      <c r="D406" s="77"/>
      <c r="E406" s="77"/>
      <c r="F406" s="77"/>
      <c r="G406" s="77"/>
      <c r="H406" s="176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 spans="1:32" ht="14.4" customHeight="1" x14ac:dyDescent="0.25">
      <c r="A407" s="77"/>
      <c r="B407" s="77"/>
      <c r="C407" s="77"/>
      <c r="D407" s="77"/>
      <c r="E407" s="77"/>
      <c r="F407" s="77"/>
      <c r="G407" s="77"/>
      <c r="H407" s="176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 spans="1:32" ht="14.4" customHeight="1" x14ac:dyDescent="0.25">
      <c r="A408" s="77"/>
      <c r="B408" s="77"/>
      <c r="C408" s="77"/>
      <c r="D408" s="77"/>
      <c r="E408" s="77"/>
      <c r="F408" s="77"/>
      <c r="G408" s="77"/>
      <c r="H408" s="176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 spans="1:32" ht="14.4" customHeight="1" x14ac:dyDescent="0.25">
      <c r="A409" s="77"/>
      <c r="B409" s="77"/>
      <c r="C409" s="77"/>
      <c r="D409" s="77"/>
      <c r="E409" s="77"/>
      <c r="F409" s="77"/>
      <c r="G409" s="77"/>
      <c r="H409" s="176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 spans="1:32" ht="14.4" customHeight="1" x14ac:dyDescent="0.25">
      <c r="A410" s="77"/>
      <c r="B410" s="77"/>
      <c r="C410" s="77"/>
      <c r="D410" s="77"/>
      <c r="E410" s="77"/>
      <c r="F410" s="77"/>
      <c r="G410" s="77"/>
      <c r="H410" s="176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 spans="1:32" ht="14.4" customHeight="1" x14ac:dyDescent="0.25">
      <c r="A411" s="77"/>
      <c r="B411" s="77"/>
      <c r="C411" s="77"/>
      <c r="D411" s="77"/>
      <c r="E411" s="77"/>
      <c r="F411" s="77"/>
      <c r="G411" s="77"/>
      <c r="H411" s="176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 spans="1:32" ht="14.4" customHeight="1" x14ac:dyDescent="0.25">
      <c r="A412" s="77"/>
      <c r="B412" s="77"/>
      <c r="C412" s="77"/>
      <c r="D412" s="77"/>
      <c r="E412" s="77"/>
      <c r="F412" s="77"/>
      <c r="G412" s="77"/>
      <c r="H412" s="176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 spans="1:32" ht="14.4" customHeight="1" x14ac:dyDescent="0.25">
      <c r="A413" s="77"/>
      <c r="B413" s="77"/>
      <c r="C413" s="77"/>
      <c r="D413" s="77"/>
      <c r="E413" s="77"/>
      <c r="F413" s="77"/>
      <c r="G413" s="77"/>
      <c r="H413" s="176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 spans="1:32" ht="14.4" customHeight="1" x14ac:dyDescent="0.25">
      <c r="A414" s="77"/>
      <c r="B414" s="77"/>
      <c r="C414" s="77"/>
      <c r="D414" s="77"/>
      <c r="E414" s="77"/>
      <c r="F414" s="77"/>
      <c r="G414" s="77"/>
      <c r="H414" s="176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 spans="1:32" ht="14.4" customHeight="1" x14ac:dyDescent="0.25">
      <c r="A415" s="77"/>
      <c r="B415" s="77"/>
      <c r="C415" s="77"/>
      <c r="D415" s="77"/>
      <c r="E415" s="77"/>
      <c r="F415" s="77"/>
      <c r="G415" s="77"/>
      <c r="H415" s="176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 spans="1:32" ht="14.4" customHeight="1" x14ac:dyDescent="0.25">
      <c r="A416" s="77"/>
      <c r="B416" s="77"/>
      <c r="C416" s="77"/>
      <c r="D416" s="77"/>
      <c r="E416" s="77"/>
      <c r="F416" s="77"/>
      <c r="G416" s="77"/>
      <c r="H416" s="176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 spans="1:32" ht="14.4" customHeight="1" x14ac:dyDescent="0.25">
      <c r="A417" s="77"/>
      <c r="B417" s="77"/>
      <c r="C417" s="77"/>
      <c r="D417" s="77"/>
      <c r="E417" s="77"/>
      <c r="F417" s="77"/>
      <c r="G417" s="77"/>
      <c r="H417" s="176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 spans="1:32" ht="14.4" customHeight="1" x14ac:dyDescent="0.25">
      <c r="A418" s="77"/>
      <c r="B418" s="77"/>
      <c r="C418" s="77"/>
      <c r="D418" s="77"/>
      <c r="E418" s="77"/>
      <c r="F418" s="77"/>
      <c r="G418" s="77"/>
      <c r="H418" s="176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 spans="1:32" ht="14.4" customHeight="1" x14ac:dyDescent="0.25">
      <c r="A419" s="77"/>
      <c r="B419" s="77"/>
      <c r="C419" s="77"/>
      <c r="D419" s="77"/>
      <c r="E419" s="77"/>
      <c r="F419" s="77"/>
      <c r="G419" s="77"/>
      <c r="H419" s="176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 spans="1:32" ht="14.4" customHeight="1" x14ac:dyDescent="0.25">
      <c r="A420" s="77"/>
      <c r="B420" s="77"/>
      <c r="C420" s="77"/>
      <c r="D420" s="77"/>
      <c r="E420" s="77"/>
      <c r="F420" s="77"/>
      <c r="G420" s="77"/>
      <c r="H420" s="176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 spans="1:32" ht="14.4" customHeight="1" x14ac:dyDescent="0.25">
      <c r="A421" s="77"/>
      <c r="B421" s="77"/>
      <c r="C421" s="77"/>
      <c r="D421" s="77"/>
      <c r="E421" s="77"/>
      <c r="F421" s="77"/>
      <c r="G421" s="77"/>
      <c r="H421" s="176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 spans="1:32" ht="14.4" customHeight="1" x14ac:dyDescent="0.25">
      <c r="A422" s="77"/>
      <c r="B422" s="77"/>
      <c r="C422" s="77"/>
      <c r="D422" s="77"/>
      <c r="E422" s="77"/>
      <c r="F422" s="77"/>
      <c r="G422" s="77"/>
      <c r="H422" s="176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 spans="1:32" ht="14.4" customHeight="1" x14ac:dyDescent="0.25">
      <c r="A423" s="77"/>
      <c r="B423" s="77"/>
      <c r="C423" s="77"/>
      <c r="D423" s="77"/>
      <c r="E423" s="77"/>
      <c r="F423" s="77"/>
      <c r="G423" s="77"/>
      <c r="H423" s="176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 spans="1:32" ht="14.4" customHeight="1" x14ac:dyDescent="0.25">
      <c r="A424" s="77"/>
      <c r="B424" s="77"/>
      <c r="C424" s="77"/>
      <c r="D424" s="77"/>
      <c r="E424" s="77"/>
      <c r="F424" s="77"/>
      <c r="G424" s="77"/>
      <c r="H424" s="176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 spans="1:32" ht="14.4" customHeight="1" x14ac:dyDescent="0.25">
      <c r="A425" s="77"/>
      <c r="B425" s="77"/>
      <c r="C425" s="77"/>
      <c r="D425" s="77"/>
      <c r="E425" s="77"/>
      <c r="F425" s="77"/>
      <c r="G425" s="77"/>
      <c r="H425" s="176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 spans="1:32" ht="14.4" customHeight="1" x14ac:dyDescent="0.25">
      <c r="A426" s="77"/>
      <c r="B426" s="77"/>
      <c r="C426" s="77"/>
      <c r="D426" s="77"/>
      <c r="E426" s="77"/>
      <c r="F426" s="77"/>
      <c r="G426" s="77"/>
      <c r="H426" s="176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 spans="1:32" ht="14.4" customHeight="1" x14ac:dyDescent="0.25">
      <c r="A427" s="77"/>
      <c r="B427" s="77"/>
      <c r="C427" s="77"/>
      <c r="D427" s="77"/>
      <c r="E427" s="77"/>
      <c r="F427" s="77"/>
      <c r="G427" s="77"/>
      <c r="H427" s="176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 spans="1:32" ht="14.4" customHeight="1" x14ac:dyDescent="0.25">
      <c r="A428" s="77"/>
      <c r="B428" s="77"/>
      <c r="C428" s="77"/>
      <c r="D428" s="77"/>
      <c r="E428" s="77"/>
      <c r="F428" s="77"/>
      <c r="G428" s="77"/>
      <c r="H428" s="176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 spans="1:32" ht="14.4" customHeight="1" x14ac:dyDescent="0.25">
      <c r="A429" s="77"/>
      <c r="B429" s="77"/>
      <c r="C429" s="77"/>
      <c r="D429" s="77"/>
      <c r="E429" s="77"/>
      <c r="F429" s="77"/>
      <c r="G429" s="77"/>
      <c r="H429" s="176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 spans="1:32" ht="14.4" customHeight="1" x14ac:dyDescent="0.25">
      <c r="A430" s="77"/>
      <c r="B430" s="77"/>
      <c r="C430" s="77"/>
      <c r="D430" s="77"/>
      <c r="E430" s="77"/>
      <c r="F430" s="77"/>
      <c r="G430" s="77"/>
      <c r="H430" s="176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 spans="1:32" ht="14.4" customHeight="1" x14ac:dyDescent="0.25">
      <c r="A431" s="77"/>
      <c r="B431" s="77"/>
      <c r="C431" s="77"/>
      <c r="D431" s="77"/>
      <c r="E431" s="77"/>
      <c r="F431" s="77"/>
      <c r="G431" s="77"/>
      <c r="H431" s="176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 spans="1:32" ht="14.4" customHeight="1" x14ac:dyDescent="0.25">
      <c r="A432" s="77"/>
      <c r="B432" s="77"/>
      <c r="C432" s="77"/>
      <c r="D432" s="77"/>
      <c r="E432" s="77"/>
      <c r="F432" s="77"/>
      <c r="G432" s="77"/>
      <c r="H432" s="176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 spans="1:32" ht="14.4" customHeight="1" x14ac:dyDescent="0.25">
      <c r="A433" s="77"/>
      <c r="B433" s="77"/>
      <c r="C433" s="77"/>
      <c r="D433" s="77"/>
      <c r="E433" s="77"/>
      <c r="F433" s="77"/>
      <c r="G433" s="77"/>
      <c r="H433" s="176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 spans="1:32" ht="14.4" customHeight="1" x14ac:dyDescent="0.25">
      <c r="A434" s="77"/>
      <c r="B434" s="77"/>
      <c r="C434" s="77"/>
      <c r="D434" s="77"/>
      <c r="E434" s="77"/>
      <c r="F434" s="77"/>
      <c r="G434" s="77"/>
      <c r="H434" s="176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 spans="1:32" ht="14.4" customHeight="1" x14ac:dyDescent="0.25">
      <c r="A435" s="77"/>
      <c r="B435" s="77"/>
      <c r="C435" s="77"/>
      <c r="D435" s="77"/>
      <c r="E435" s="77"/>
      <c r="F435" s="77"/>
      <c r="G435" s="77"/>
      <c r="H435" s="176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 spans="1:32" ht="14.4" customHeight="1" x14ac:dyDescent="0.25">
      <c r="A436" s="77"/>
      <c r="B436" s="77"/>
      <c r="C436" s="77"/>
      <c r="D436" s="77"/>
      <c r="E436" s="77"/>
      <c r="F436" s="77"/>
      <c r="G436" s="77"/>
      <c r="H436" s="176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 spans="1:32" ht="14.4" customHeight="1" x14ac:dyDescent="0.25">
      <c r="A437" s="77"/>
      <c r="B437" s="77"/>
      <c r="C437" s="77"/>
      <c r="D437" s="77"/>
      <c r="E437" s="77"/>
      <c r="F437" s="77"/>
      <c r="G437" s="77"/>
      <c r="H437" s="176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 spans="1:32" ht="14.4" customHeight="1" x14ac:dyDescent="0.25">
      <c r="A438" s="77"/>
      <c r="B438" s="77"/>
      <c r="C438" s="77"/>
      <c r="D438" s="77"/>
      <c r="E438" s="77"/>
      <c r="F438" s="77"/>
      <c r="G438" s="77"/>
      <c r="H438" s="176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 spans="1:32" ht="14.4" customHeight="1" x14ac:dyDescent="0.25">
      <c r="A439" s="77"/>
      <c r="B439" s="77"/>
      <c r="C439" s="77"/>
      <c r="D439" s="77"/>
      <c r="E439" s="77"/>
      <c r="F439" s="77"/>
      <c r="G439" s="77"/>
      <c r="H439" s="176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 spans="1:32" ht="14.4" customHeight="1" x14ac:dyDescent="0.25">
      <c r="A440" s="77"/>
      <c r="B440" s="77"/>
      <c r="C440" s="77"/>
      <c r="D440" s="77"/>
      <c r="E440" s="77"/>
      <c r="F440" s="77"/>
      <c r="G440" s="77"/>
      <c r="H440" s="176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 spans="1:32" ht="14.4" customHeight="1" x14ac:dyDescent="0.25">
      <c r="A441" s="77"/>
      <c r="B441" s="77"/>
      <c r="C441" s="77"/>
      <c r="D441" s="77"/>
      <c r="E441" s="77"/>
      <c r="F441" s="77"/>
      <c r="G441" s="77"/>
      <c r="H441" s="176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 spans="1:32" ht="14.4" customHeight="1" x14ac:dyDescent="0.25">
      <c r="A442" s="77"/>
      <c r="B442" s="77"/>
      <c r="C442" s="77"/>
      <c r="D442" s="77"/>
      <c r="E442" s="77"/>
      <c r="F442" s="77"/>
      <c r="G442" s="77"/>
      <c r="H442" s="176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 spans="1:32" ht="14.4" customHeight="1" x14ac:dyDescent="0.25">
      <c r="A443" s="77"/>
      <c r="B443" s="77"/>
      <c r="C443" s="77"/>
      <c r="D443" s="77"/>
      <c r="E443" s="77"/>
      <c r="F443" s="77"/>
      <c r="G443" s="77"/>
      <c r="H443" s="176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 spans="1:32" ht="14.4" customHeight="1" x14ac:dyDescent="0.25">
      <c r="A444" s="77"/>
      <c r="B444" s="77"/>
      <c r="C444" s="77"/>
      <c r="D444" s="77"/>
      <c r="E444" s="77"/>
      <c r="F444" s="77"/>
      <c r="G444" s="77"/>
      <c r="H444" s="176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 spans="1:32" ht="14.4" customHeight="1" x14ac:dyDescent="0.25">
      <c r="A445" s="77"/>
      <c r="B445" s="77"/>
      <c r="C445" s="77"/>
      <c r="D445" s="77"/>
      <c r="E445" s="77"/>
      <c r="F445" s="77"/>
      <c r="G445" s="77"/>
      <c r="H445" s="176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 spans="1:32" ht="14.4" customHeight="1" x14ac:dyDescent="0.25">
      <c r="A446" s="77"/>
      <c r="B446" s="77"/>
      <c r="C446" s="77"/>
      <c r="D446" s="77"/>
      <c r="E446" s="77"/>
      <c r="F446" s="77"/>
      <c r="G446" s="77"/>
      <c r="H446" s="176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 spans="1:32" ht="14.4" customHeight="1" x14ac:dyDescent="0.25">
      <c r="A447" s="77"/>
      <c r="B447" s="77"/>
      <c r="C447" s="77"/>
      <c r="D447" s="77"/>
      <c r="E447" s="77"/>
      <c r="F447" s="77"/>
      <c r="G447" s="77"/>
      <c r="H447" s="176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 spans="1:32" ht="14.4" customHeight="1" x14ac:dyDescent="0.25">
      <c r="A448" s="77"/>
      <c r="B448" s="77"/>
      <c r="C448" s="77"/>
      <c r="D448" s="77"/>
      <c r="E448" s="77"/>
      <c r="F448" s="77"/>
      <c r="G448" s="77"/>
      <c r="H448" s="176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 spans="1:32" ht="14.4" customHeight="1" x14ac:dyDescent="0.25">
      <c r="A449" s="77"/>
      <c r="B449" s="77"/>
      <c r="C449" s="77"/>
      <c r="D449" s="77"/>
      <c r="E449" s="77"/>
      <c r="F449" s="77"/>
      <c r="G449" s="77"/>
      <c r="H449" s="176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 spans="1:32" ht="14.4" customHeight="1" x14ac:dyDescent="0.25">
      <c r="A450" s="77"/>
      <c r="B450" s="77"/>
      <c r="C450" s="77"/>
      <c r="D450" s="77"/>
      <c r="E450" s="77"/>
      <c r="F450" s="77"/>
      <c r="G450" s="77"/>
      <c r="H450" s="176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 spans="1:32" ht="14.4" customHeight="1" x14ac:dyDescent="0.25">
      <c r="A451" s="77"/>
      <c r="B451" s="77"/>
      <c r="C451" s="77"/>
      <c r="D451" s="77"/>
      <c r="E451" s="77"/>
      <c r="F451" s="77"/>
      <c r="G451" s="77"/>
      <c r="H451" s="176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 spans="1:32" ht="14.4" customHeight="1" x14ac:dyDescent="0.25">
      <c r="A452" s="77"/>
      <c r="B452" s="77"/>
      <c r="C452" s="77"/>
      <c r="D452" s="77"/>
      <c r="E452" s="77"/>
      <c r="F452" s="77"/>
      <c r="G452" s="77"/>
      <c r="H452" s="176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 spans="1:32" ht="14.4" customHeight="1" x14ac:dyDescent="0.25">
      <c r="A453" s="77"/>
      <c r="B453" s="77"/>
      <c r="C453" s="77"/>
      <c r="D453" s="77"/>
      <c r="E453" s="77"/>
      <c r="F453" s="77"/>
      <c r="G453" s="77"/>
      <c r="H453" s="176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 spans="1:32" ht="14.4" customHeight="1" x14ac:dyDescent="0.25">
      <c r="A454" s="77"/>
      <c r="B454" s="77"/>
      <c r="C454" s="77"/>
      <c r="D454" s="77"/>
      <c r="E454" s="77"/>
      <c r="F454" s="77"/>
      <c r="G454" s="77"/>
      <c r="H454" s="176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 spans="1:32" ht="14.4" customHeight="1" x14ac:dyDescent="0.25">
      <c r="A455" s="77"/>
      <c r="B455" s="77"/>
      <c r="C455" s="77"/>
      <c r="D455" s="77"/>
      <c r="E455" s="77"/>
      <c r="F455" s="77"/>
      <c r="G455" s="77"/>
      <c r="H455" s="176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 spans="1:32" ht="14.4" customHeight="1" x14ac:dyDescent="0.25">
      <c r="A456" s="77"/>
      <c r="B456" s="77"/>
      <c r="C456" s="77"/>
      <c r="D456" s="77"/>
      <c r="E456" s="77"/>
      <c r="F456" s="77"/>
      <c r="G456" s="77"/>
      <c r="H456" s="176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 spans="1:32" ht="14.4" customHeight="1" x14ac:dyDescent="0.25">
      <c r="A457" s="77"/>
      <c r="B457" s="77"/>
      <c r="C457" s="77"/>
      <c r="D457" s="77"/>
      <c r="E457" s="77"/>
      <c r="F457" s="77"/>
      <c r="G457" s="77"/>
      <c r="H457" s="176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 spans="1:32" ht="14.4" customHeight="1" x14ac:dyDescent="0.25">
      <c r="A458" s="77"/>
      <c r="B458" s="77"/>
      <c r="C458" s="77"/>
      <c r="D458" s="77"/>
      <c r="E458" s="77"/>
      <c r="F458" s="77"/>
      <c r="G458" s="77"/>
      <c r="H458" s="176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 spans="1:32" ht="14.4" customHeight="1" x14ac:dyDescent="0.25">
      <c r="A459" s="77"/>
      <c r="B459" s="77"/>
      <c r="C459" s="77"/>
      <c r="D459" s="77"/>
      <c r="E459" s="77"/>
      <c r="F459" s="77"/>
      <c r="G459" s="77"/>
      <c r="H459" s="176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 spans="1:32" ht="14.4" customHeight="1" x14ac:dyDescent="0.25">
      <c r="A460" s="77"/>
      <c r="B460" s="77"/>
      <c r="C460" s="77"/>
      <c r="D460" s="77"/>
      <c r="E460" s="77"/>
      <c r="F460" s="77"/>
      <c r="G460" s="77"/>
      <c r="H460" s="176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 spans="1:32" ht="14.4" customHeight="1" x14ac:dyDescent="0.25">
      <c r="A461" s="77"/>
      <c r="B461" s="77"/>
      <c r="C461" s="77"/>
      <c r="D461" s="77"/>
      <c r="E461" s="77"/>
      <c r="F461" s="77"/>
      <c r="G461" s="77"/>
      <c r="H461" s="176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 spans="1:32" ht="14.4" customHeight="1" x14ac:dyDescent="0.25">
      <c r="A462" s="77"/>
      <c r="B462" s="77"/>
      <c r="C462" s="77"/>
      <c r="D462" s="77"/>
      <c r="E462" s="77"/>
      <c r="F462" s="77"/>
      <c r="G462" s="77"/>
      <c r="H462" s="176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 spans="1:32" ht="14.4" customHeight="1" x14ac:dyDescent="0.25">
      <c r="A463" s="77"/>
      <c r="B463" s="77"/>
      <c r="C463" s="77"/>
      <c r="D463" s="77"/>
      <c r="E463" s="77"/>
      <c r="F463" s="77"/>
      <c r="G463" s="77"/>
      <c r="H463" s="176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 spans="1:32" ht="14.4" customHeight="1" x14ac:dyDescent="0.25">
      <c r="A464" s="77"/>
      <c r="B464" s="77"/>
      <c r="C464" s="77"/>
      <c r="D464" s="77"/>
      <c r="E464" s="77"/>
      <c r="F464" s="77"/>
      <c r="G464" s="77"/>
      <c r="H464" s="176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 spans="1:32" ht="14.4" customHeight="1" x14ac:dyDescent="0.25">
      <c r="A465" s="77"/>
      <c r="B465" s="77"/>
      <c r="C465" s="77"/>
      <c r="D465" s="77"/>
      <c r="E465" s="77"/>
      <c r="F465" s="77"/>
      <c r="G465" s="77"/>
      <c r="H465" s="176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 spans="1:32" ht="14.4" customHeight="1" x14ac:dyDescent="0.25">
      <c r="A466" s="77"/>
      <c r="B466" s="77"/>
      <c r="C466" s="77"/>
      <c r="D466" s="77"/>
      <c r="E466" s="77"/>
      <c r="F466" s="77"/>
      <c r="G466" s="77"/>
      <c r="H466" s="176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 spans="1:32" ht="14.4" customHeight="1" x14ac:dyDescent="0.25">
      <c r="A467" s="77"/>
      <c r="B467" s="77"/>
      <c r="C467" s="77"/>
      <c r="D467" s="77"/>
      <c r="E467" s="77"/>
      <c r="F467" s="77"/>
      <c r="G467" s="77"/>
      <c r="H467" s="176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 spans="1:32" ht="14.4" customHeight="1" x14ac:dyDescent="0.25">
      <c r="A468" s="77"/>
      <c r="B468" s="77"/>
      <c r="C468" s="77"/>
      <c r="D468" s="77"/>
      <c r="E468" s="77"/>
      <c r="F468" s="77"/>
      <c r="G468" s="77"/>
      <c r="H468" s="176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 spans="1:32" ht="14.4" customHeight="1" x14ac:dyDescent="0.25">
      <c r="A469" s="77"/>
      <c r="B469" s="77"/>
      <c r="C469" s="77"/>
      <c r="D469" s="77"/>
      <c r="E469" s="77"/>
      <c r="F469" s="77"/>
      <c r="G469" s="77"/>
      <c r="H469" s="176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 spans="1:32" ht="14.4" customHeight="1" x14ac:dyDescent="0.25">
      <c r="A470" s="77"/>
      <c r="B470" s="77"/>
      <c r="C470" s="77"/>
      <c r="D470" s="77"/>
      <c r="E470" s="77"/>
      <c r="F470" s="77"/>
      <c r="G470" s="77"/>
      <c r="H470" s="176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 spans="1:32" ht="14.4" customHeight="1" x14ac:dyDescent="0.25">
      <c r="A471" s="77"/>
      <c r="B471" s="77"/>
      <c r="C471" s="77"/>
      <c r="D471" s="77"/>
      <c r="E471" s="77"/>
      <c r="F471" s="77"/>
      <c r="G471" s="77"/>
      <c r="H471" s="176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 spans="1:32" ht="14.4" customHeight="1" x14ac:dyDescent="0.25">
      <c r="A472" s="77"/>
      <c r="B472" s="77"/>
      <c r="C472" s="77"/>
      <c r="D472" s="77"/>
      <c r="E472" s="77"/>
      <c r="F472" s="77"/>
      <c r="G472" s="77"/>
      <c r="H472" s="176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 spans="1:32" ht="14.4" customHeight="1" x14ac:dyDescent="0.25">
      <c r="A473" s="77"/>
      <c r="B473" s="77"/>
      <c r="C473" s="77"/>
      <c r="D473" s="77"/>
      <c r="E473" s="77"/>
      <c r="F473" s="77"/>
      <c r="G473" s="77"/>
      <c r="H473" s="176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 spans="1:32" ht="14.4" customHeight="1" x14ac:dyDescent="0.25">
      <c r="A474" s="77"/>
      <c r="B474" s="77"/>
      <c r="C474" s="77"/>
      <c r="D474" s="77"/>
      <c r="E474" s="77"/>
      <c r="F474" s="77"/>
      <c r="G474" s="77"/>
      <c r="H474" s="176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 spans="1:32" ht="14.4" customHeight="1" x14ac:dyDescent="0.25">
      <c r="A475" s="77"/>
      <c r="B475" s="77"/>
      <c r="C475" s="77"/>
      <c r="D475" s="77"/>
      <c r="E475" s="77"/>
      <c r="F475" s="77"/>
      <c r="G475" s="77"/>
      <c r="H475" s="176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 spans="1:32" ht="14.4" customHeight="1" x14ac:dyDescent="0.25">
      <c r="A476" s="77"/>
      <c r="B476" s="77"/>
      <c r="C476" s="77"/>
      <c r="D476" s="77"/>
      <c r="E476" s="77"/>
      <c r="F476" s="77"/>
      <c r="G476" s="77"/>
      <c r="H476" s="176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 spans="1:32" ht="14.4" customHeight="1" x14ac:dyDescent="0.25">
      <c r="A477" s="77"/>
      <c r="B477" s="77"/>
      <c r="C477" s="77"/>
      <c r="D477" s="77"/>
      <c r="E477" s="77"/>
      <c r="F477" s="77"/>
      <c r="G477" s="77"/>
      <c r="H477" s="176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 spans="1:32" ht="14.4" customHeight="1" x14ac:dyDescent="0.25">
      <c r="A478" s="77"/>
      <c r="B478" s="77"/>
      <c r="C478" s="77"/>
      <c r="D478" s="77"/>
      <c r="E478" s="77"/>
      <c r="F478" s="77"/>
      <c r="G478" s="77"/>
      <c r="H478" s="176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 spans="1:32" ht="14.4" customHeight="1" x14ac:dyDescent="0.25">
      <c r="A479" s="77"/>
      <c r="B479" s="77"/>
      <c r="C479" s="77"/>
      <c r="D479" s="77"/>
      <c r="E479" s="77"/>
      <c r="F479" s="77"/>
      <c r="G479" s="77"/>
      <c r="H479" s="176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 spans="1:32" ht="14.4" customHeight="1" x14ac:dyDescent="0.25">
      <c r="A480" s="77"/>
      <c r="B480" s="77"/>
      <c r="C480" s="77"/>
      <c r="D480" s="77"/>
      <c r="E480" s="77"/>
      <c r="F480" s="77"/>
      <c r="G480" s="77"/>
      <c r="H480" s="176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 spans="1:32" ht="14.4" customHeight="1" x14ac:dyDescent="0.25">
      <c r="A481" s="77"/>
      <c r="B481" s="77"/>
      <c r="C481" s="77"/>
      <c r="D481" s="77"/>
      <c r="E481" s="77"/>
      <c r="F481" s="77"/>
      <c r="G481" s="77"/>
      <c r="H481" s="176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 spans="1:32" ht="14.4" customHeight="1" x14ac:dyDescent="0.25">
      <c r="A482" s="77"/>
      <c r="B482" s="77"/>
      <c r="C482" s="77"/>
      <c r="D482" s="77"/>
      <c r="E482" s="77"/>
      <c r="F482" s="77"/>
      <c r="G482" s="77"/>
      <c r="H482" s="176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 spans="1:32" ht="14.4" customHeight="1" x14ac:dyDescent="0.25">
      <c r="A483" s="77"/>
      <c r="B483" s="77"/>
      <c r="C483" s="77"/>
      <c r="D483" s="77"/>
      <c r="E483" s="77"/>
      <c r="F483" s="77"/>
      <c r="G483" s="77"/>
      <c r="H483" s="176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 spans="1:32" ht="14.4" customHeight="1" x14ac:dyDescent="0.25">
      <c r="A484" s="77"/>
      <c r="B484" s="77"/>
      <c r="C484" s="77"/>
      <c r="D484" s="77"/>
      <c r="E484" s="77"/>
      <c r="F484" s="77"/>
      <c r="G484" s="77"/>
      <c r="H484" s="176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 spans="1:32" ht="14.4" customHeight="1" x14ac:dyDescent="0.25">
      <c r="A485" s="77"/>
      <c r="B485" s="77"/>
      <c r="C485" s="77"/>
      <c r="D485" s="77"/>
      <c r="E485" s="77"/>
      <c r="F485" s="77"/>
      <c r="G485" s="77"/>
      <c r="H485" s="176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 spans="1:32" ht="14.4" customHeight="1" x14ac:dyDescent="0.25">
      <c r="A486" s="77"/>
      <c r="B486" s="77"/>
      <c r="C486" s="77"/>
      <c r="D486" s="77"/>
      <c r="E486" s="77"/>
      <c r="F486" s="77"/>
      <c r="G486" s="77"/>
      <c r="H486" s="176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 spans="1:32" ht="14.4" customHeight="1" x14ac:dyDescent="0.25">
      <c r="A487" s="77"/>
      <c r="B487" s="77"/>
      <c r="C487" s="77"/>
      <c r="D487" s="77"/>
      <c r="E487" s="77"/>
      <c r="F487" s="77"/>
      <c r="G487" s="77"/>
      <c r="H487" s="176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 spans="1:32" ht="14.4" customHeight="1" x14ac:dyDescent="0.25">
      <c r="A488" s="77"/>
      <c r="B488" s="77"/>
      <c r="C488" s="77"/>
      <c r="D488" s="77"/>
      <c r="E488" s="77"/>
      <c r="F488" s="77"/>
      <c r="G488" s="77"/>
      <c r="H488" s="176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 spans="1:32" ht="14.4" customHeight="1" x14ac:dyDescent="0.25">
      <c r="A489" s="77"/>
      <c r="B489" s="77"/>
      <c r="C489" s="77"/>
      <c r="D489" s="77"/>
      <c r="E489" s="77"/>
      <c r="F489" s="77"/>
      <c r="G489" s="77"/>
      <c r="H489" s="176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 spans="1:32" ht="14.4" customHeight="1" x14ac:dyDescent="0.25">
      <c r="A490" s="77"/>
      <c r="B490" s="77"/>
      <c r="C490" s="77"/>
      <c r="D490" s="77"/>
      <c r="E490" s="77"/>
      <c r="F490" s="77"/>
      <c r="G490" s="77"/>
      <c r="H490" s="176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 spans="1:32" ht="14.4" customHeight="1" x14ac:dyDescent="0.25">
      <c r="A491" s="77"/>
      <c r="B491" s="77"/>
      <c r="C491" s="77"/>
      <c r="D491" s="77"/>
      <c r="E491" s="77"/>
      <c r="F491" s="77"/>
      <c r="G491" s="77"/>
      <c r="H491" s="176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 spans="1:32" ht="14.4" customHeight="1" x14ac:dyDescent="0.25">
      <c r="A492" s="77"/>
      <c r="B492" s="77"/>
      <c r="C492" s="77"/>
      <c r="D492" s="77"/>
      <c r="E492" s="77"/>
      <c r="F492" s="77"/>
      <c r="G492" s="77"/>
      <c r="H492" s="176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 spans="1:32" ht="14.4" customHeight="1" x14ac:dyDescent="0.25">
      <c r="A493" s="77"/>
      <c r="B493" s="77"/>
      <c r="C493" s="77"/>
      <c r="D493" s="77"/>
      <c r="E493" s="77"/>
      <c r="F493" s="77"/>
      <c r="G493" s="77"/>
      <c r="H493" s="176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 spans="1:32" ht="14.4" customHeight="1" x14ac:dyDescent="0.25">
      <c r="A494" s="77"/>
      <c r="B494" s="77"/>
      <c r="C494" s="77"/>
      <c r="D494" s="77"/>
      <c r="E494" s="77"/>
      <c r="F494" s="77"/>
      <c r="G494" s="77"/>
      <c r="H494" s="176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 spans="1:32" ht="14.4" customHeight="1" x14ac:dyDescent="0.25">
      <c r="A495" s="77"/>
      <c r="B495" s="77"/>
      <c r="C495" s="77"/>
      <c r="D495" s="77"/>
      <c r="E495" s="77"/>
      <c r="F495" s="77"/>
      <c r="G495" s="77"/>
      <c r="H495" s="176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 spans="1:32" ht="14.4" customHeight="1" x14ac:dyDescent="0.25">
      <c r="A496" s="77"/>
      <c r="B496" s="77"/>
      <c r="C496" s="77"/>
      <c r="D496" s="77"/>
      <c r="E496" s="77"/>
      <c r="F496" s="77"/>
      <c r="G496" s="77"/>
      <c r="H496" s="176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 spans="1:32" ht="14.4" customHeight="1" x14ac:dyDescent="0.25">
      <c r="A497" s="77"/>
      <c r="B497" s="77"/>
      <c r="C497" s="77"/>
      <c r="D497" s="77"/>
      <c r="E497" s="77"/>
      <c r="F497" s="77"/>
      <c r="G497" s="77"/>
      <c r="H497" s="176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 spans="1:32" ht="14.4" customHeight="1" x14ac:dyDescent="0.25">
      <c r="A498" s="77"/>
      <c r="B498" s="77"/>
      <c r="C498" s="77"/>
      <c r="D498" s="77"/>
      <c r="E498" s="77"/>
      <c r="F498" s="77"/>
      <c r="G498" s="77"/>
      <c r="H498" s="176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 spans="1:32" ht="14.4" customHeight="1" x14ac:dyDescent="0.25">
      <c r="A499" s="77"/>
      <c r="B499" s="77"/>
      <c r="C499" s="77"/>
      <c r="D499" s="77"/>
      <c r="E499" s="77"/>
      <c r="F499" s="77"/>
      <c r="G499" s="77"/>
      <c r="H499" s="176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 spans="1:32" ht="14.4" customHeight="1" x14ac:dyDescent="0.25">
      <c r="A500" s="77"/>
      <c r="B500" s="77"/>
      <c r="C500" s="77"/>
      <c r="D500" s="77"/>
      <c r="E500" s="77"/>
      <c r="F500" s="77"/>
      <c r="G500" s="77"/>
      <c r="H500" s="176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 spans="1:32" ht="14.4" customHeight="1" x14ac:dyDescent="0.25">
      <c r="A501" s="77"/>
      <c r="B501" s="77"/>
      <c r="C501" s="77"/>
      <c r="D501" s="77"/>
      <c r="E501" s="77"/>
      <c r="F501" s="77"/>
      <c r="G501" s="77"/>
      <c r="H501" s="176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 spans="1:32" ht="14.4" customHeight="1" x14ac:dyDescent="0.25">
      <c r="A502" s="77"/>
      <c r="B502" s="77"/>
      <c r="C502" s="77"/>
      <c r="D502" s="77"/>
      <c r="E502" s="77"/>
      <c r="F502" s="77"/>
      <c r="G502" s="77"/>
      <c r="H502" s="176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 spans="1:32" ht="14.4" customHeight="1" x14ac:dyDescent="0.25">
      <c r="A503" s="77"/>
      <c r="B503" s="77"/>
      <c r="C503" s="77"/>
      <c r="D503" s="77"/>
      <c r="E503" s="77"/>
      <c r="F503" s="77"/>
      <c r="G503" s="77"/>
      <c r="H503" s="176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 spans="1:32" ht="14.4" customHeight="1" x14ac:dyDescent="0.25">
      <c r="A504" s="77"/>
      <c r="B504" s="77"/>
      <c r="C504" s="77"/>
      <c r="D504" s="77"/>
      <c r="E504" s="77"/>
      <c r="F504" s="77"/>
      <c r="G504" s="77"/>
      <c r="H504" s="176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 spans="1:32" ht="14.4" customHeight="1" x14ac:dyDescent="0.25">
      <c r="A505" s="77"/>
      <c r="B505" s="77"/>
      <c r="C505" s="77"/>
      <c r="D505" s="77"/>
      <c r="E505" s="77"/>
      <c r="F505" s="77"/>
      <c r="G505" s="77"/>
      <c r="H505" s="176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 spans="1:32" ht="14.4" customHeight="1" x14ac:dyDescent="0.25">
      <c r="A506" s="77"/>
      <c r="B506" s="77"/>
      <c r="C506" s="77"/>
      <c r="D506" s="77"/>
      <c r="E506" s="77"/>
      <c r="F506" s="77"/>
      <c r="G506" s="77"/>
      <c r="H506" s="176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 spans="1:32" ht="14.4" customHeight="1" x14ac:dyDescent="0.25">
      <c r="A507" s="77"/>
      <c r="B507" s="77"/>
      <c r="C507" s="77"/>
      <c r="D507" s="77"/>
      <c r="E507" s="77"/>
      <c r="F507" s="77"/>
      <c r="G507" s="77"/>
      <c r="H507" s="176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 spans="1:32" ht="14.4" customHeight="1" x14ac:dyDescent="0.25">
      <c r="A508" s="77"/>
      <c r="B508" s="77"/>
      <c r="C508" s="77"/>
      <c r="D508" s="77"/>
      <c r="E508" s="77"/>
      <c r="F508" s="77"/>
      <c r="G508" s="77"/>
      <c r="H508" s="176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 spans="1:32" ht="14.4" customHeight="1" x14ac:dyDescent="0.25">
      <c r="A509" s="77"/>
      <c r="B509" s="77"/>
      <c r="C509" s="77"/>
      <c r="D509" s="77"/>
      <c r="E509" s="77"/>
      <c r="F509" s="77"/>
      <c r="G509" s="77"/>
      <c r="H509" s="176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 spans="1:32" ht="14.4" customHeight="1" x14ac:dyDescent="0.25">
      <c r="A510" s="77"/>
      <c r="B510" s="77"/>
      <c r="C510" s="77"/>
      <c r="D510" s="77"/>
      <c r="E510" s="77"/>
      <c r="F510" s="77"/>
      <c r="G510" s="77"/>
      <c r="H510" s="176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 spans="1:32" ht="14.4" customHeight="1" x14ac:dyDescent="0.25">
      <c r="A511" s="77"/>
      <c r="B511" s="77"/>
      <c r="C511" s="77"/>
      <c r="D511" s="77"/>
      <c r="E511" s="77"/>
      <c r="F511" s="77"/>
      <c r="G511" s="77"/>
      <c r="H511" s="176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 spans="1:32" ht="14.4" customHeight="1" x14ac:dyDescent="0.25">
      <c r="A512" s="77"/>
      <c r="B512" s="77"/>
      <c r="C512" s="77"/>
      <c r="D512" s="77"/>
      <c r="E512" s="77"/>
      <c r="F512" s="77"/>
      <c r="G512" s="77"/>
      <c r="H512" s="176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 spans="1:32" ht="14.4" customHeight="1" x14ac:dyDescent="0.25">
      <c r="A513" s="77"/>
      <c r="B513" s="77"/>
      <c r="C513" s="77"/>
      <c r="D513" s="77"/>
      <c r="E513" s="77"/>
      <c r="F513" s="77"/>
      <c r="G513" s="77"/>
      <c r="H513" s="176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 spans="1:32" ht="14.4" customHeight="1" x14ac:dyDescent="0.25">
      <c r="A514" s="77"/>
      <c r="B514" s="77"/>
      <c r="C514" s="77"/>
      <c r="D514" s="77"/>
      <c r="E514" s="77"/>
      <c r="F514" s="77"/>
      <c r="G514" s="77"/>
      <c r="H514" s="176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 spans="1:32" ht="14.4" customHeight="1" x14ac:dyDescent="0.25">
      <c r="A515" s="77"/>
      <c r="B515" s="77"/>
      <c r="C515" s="77"/>
      <c r="D515" s="77"/>
      <c r="E515" s="77"/>
      <c r="F515" s="77"/>
      <c r="G515" s="77"/>
      <c r="H515" s="176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 spans="1:32" ht="14.4" customHeight="1" x14ac:dyDescent="0.25">
      <c r="A516" s="77"/>
      <c r="B516" s="77"/>
      <c r="C516" s="77"/>
      <c r="D516" s="77"/>
      <c r="E516" s="77"/>
      <c r="F516" s="77"/>
      <c r="G516" s="77"/>
      <c r="H516" s="176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 spans="1:32" ht="14.4" customHeight="1" x14ac:dyDescent="0.25">
      <c r="A517" s="77"/>
      <c r="B517" s="77"/>
      <c r="C517" s="77"/>
      <c r="D517" s="77"/>
      <c r="E517" s="77"/>
      <c r="F517" s="77"/>
      <c r="G517" s="77"/>
      <c r="H517" s="176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 spans="1:32" ht="14.4" customHeight="1" x14ac:dyDescent="0.25">
      <c r="A518" s="77"/>
      <c r="B518" s="77"/>
      <c r="C518" s="77"/>
      <c r="D518" s="77"/>
      <c r="E518" s="77"/>
      <c r="F518" s="77"/>
      <c r="G518" s="77"/>
      <c r="H518" s="176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 spans="1:32" ht="14.4" customHeight="1" x14ac:dyDescent="0.25">
      <c r="A519" s="77"/>
      <c r="B519" s="77"/>
      <c r="C519" s="77"/>
      <c r="D519" s="77"/>
      <c r="E519" s="77"/>
      <c r="F519" s="77"/>
      <c r="G519" s="77"/>
      <c r="H519" s="176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 spans="1:32" ht="14.4" customHeight="1" x14ac:dyDescent="0.25">
      <c r="A520" s="77"/>
      <c r="B520" s="77"/>
      <c r="C520" s="77"/>
      <c r="D520" s="77"/>
      <c r="E520" s="77"/>
      <c r="F520" s="77"/>
      <c r="G520" s="77"/>
      <c r="H520" s="176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 spans="1:32" ht="14.4" customHeight="1" x14ac:dyDescent="0.25">
      <c r="A521" s="77"/>
      <c r="B521" s="77"/>
      <c r="C521" s="77"/>
      <c r="D521" s="77"/>
      <c r="E521" s="77"/>
      <c r="F521" s="77"/>
      <c r="G521" s="77"/>
      <c r="H521" s="176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 spans="1:32" ht="14.4" customHeight="1" x14ac:dyDescent="0.25">
      <c r="A522" s="77"/>
      <c r="B522" s="77"/>
      <c r="C522" s="77"/>
      <c r="D522" s="77"/>
      <c r="E522" s="77"/>
      <c r="F522" s="77"/>
      <c r="G522" s="77"/>
      <c r="H522" s="176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 spans="1:32" ht="14.4" customHeight="1" x14ac:dyDescent="0.25">
      <c r="A523" s="77"/>
      <c r="B523" s="77"/>
      <c r="C523" s="77"/>
      <c r="D523" s="77"/>
      <c r="E523" s="77"/>
      <c r="F523" s="77"/>
      <c r="G523" s="77"/>
      <c r="H523" s="176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 spans="1:32" ht="14.4" customHeight="1" x14ac:dyDescent="0.25">
      <c r="A524" s="77"/>
      <c r="B524" s="77"/>
      <c r="C524" s="77"/>
      <c r="D524" s="77"/>
      <c r="E524" s="77"/>
      <c r="F524" s="77"/>
      <c r="G524" s="77"/>
      <c r="H524" s="176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 spans="1:32" ht="14.4" customHeight="1" x14ac:dyDescent="0.25">
      <c r="A525" s="77"/>
      <c r="B525" s="77"/>
      <c r="C525" s="77"/>
      <c r="D525" s="77"/>
      <c r="E525" s="77"/>
      <c r="F525" s="77"/>
      <c r="G525" s="77"/>
      <c r="H525" s="176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 spans="1:32" ht="14.4" customHeight="1" x14ac:dyDescent="0.25">
      <c r="A526" s="77"/>
      <c r="B526" s="77"/>
      <c r="C526" s="77"/>
      <c r="D526" s="77"/>
      <c r="E526" s="77"/>
      <c r="F526" s="77"/>
      <c r="G526" s="77"/>
      <c r="H526" s="176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 spans="1:32" ht="14.4" customHeight="1" x14ac:dyDescent="0.25">
      <c r="A527" s="77"/>
      <c r="B527" s="77"/>
      <c r="C527" s="77"/>
      <c r="D527" s="77"/>
      <c r="E527" s="77"/>
      <c r="F527" s="77"/>
      <c r="G527" s="77"/>
      <c r="H527" s="176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 spans="1:32" ht="14.4" customHeight="1" x14ac:dyDescent="0.25">
      <c r="A528" s="77"/>
      <c r="B528" s="77"/>
      <c r="C528" s="77"/>
      <c r="D528" s="77"/>
      <c r="E528" s="77"/>
      <c r="F528" s="77"/>
      <c r="G528" s="77"/>
      <c r="H528" s="176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 spans="1:32" ht="14.4" customHeight="1" x14ac:dyDescent="0.25">
      <c r="A529" s="77"/>
      <c r="B529" s="77"/>
      <c r="C529" s="77"/>
      <c r="D529" s="77"/>
      <c r="E529" s="77"/>
      <c r="F529" s="77"/>
      <c r="G529" s="77"/>
      <c r="H529" s="176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 spans="1:32" ht="14.4" customHeight="1" x14ac:dyDescent="0.25">
      <c r="A530" s="77"/>
      <c r="B530" s="77"/>
      <c r="C530" s="77"/>
      <c r="D530" s="77"/>
      <c r="E530" s="77"/>
      <c r="F530" s="77"/>
      <c r="G530" s="77"/>
      <c r="H530" s="176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 spans="1:32" ht="14.4" customHeight="1" x14ac:dyDescent="0.25">
      <c r="A531" s="77"/>
      <c r="B531" s="77"/>
      <c r="C531" s="77"/>
      <c r="D531" s="77"/>
      <c r="E531" s="77"/>
      <c r="F531" s="77"/>
      <c r="G531" s="77"/>
      <c r="H531" s="176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 spans="1:32" ht="14.4" customHeight="1" x14ac:dyDescent="0.25">
      <c r="A532" s="77"/>
      <c r="B532" s="77"/>
      <c r="C532" s="77"/>
      <c r="D532" s="77"/>
      <c r="E532" s="77"/>
      <c r="F532" s="77"/>
      <c r="G532" s="77"/>
      <c r="H532" s="176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 spans="1:32" ht="14.4" customHeight="1" x14ac:dyDescent="0.25">
      <c r="A533" s="77"/>
      <c r="B533" s="77"/>
      <c r="C533" s="77"/>
      <c r="D533" s="77"/>
      <c r="E533" s="77"/>
      <c r="F533" s="77"/>
      <c r="G533" s="77"/>
      <c r="H533" s="176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 spans="1:32" ht="14.4" customHeight="1" x14ac:dyDescent="0.25">
      <c r="A534" s="77"/>
      <c r="B534" s="77"/>
      <c r="C534" s="77"/>
      <c r="D534" s="77"/>
      <c r="E534" s="77"/>
      <c r="F534" s="77"/>
      <c r="G534" s="77"/>
      <c r="H534" s="176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 spans="1:32" ht="14.4" customHeight="1" x14ac:dyDescent="0.25">
      <c r="A535" s="77"/>
      <c r="B535" s="77"/>
      <c r="C535" s="77"/>
      <c r="D535" s="77"/>
      <c r="E535" s="77"/>
      <c r="F535" s="77"/>
      <c r="G535" s="77"/>
      <c r="H535" s="176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 spans="1:32" ht="14.4" customHeight="1" x14ac:dyDescent="0.25">
      <c r="A536" s="77"/>
      <c r="B536" s="77"/>
      <c r="C536" s="77"/>
      <c r="D536" s="77"/>
      <c r="E536" s="77"/>
      <c r="F536" s="77"/>
      <c r="G536" s="77"/>
      <c r="H536" s="176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 spans="1:32" ht="14.4" customHeight="1" x14ac:dyDescent="0.25">
      <c r="A537" s="77"/>
      <c r="B537" s="77"/>
      <c r="C537" s="77"/>
      <c r="D537" s="77"/>
      <c r="E537" s="77"/>
      <c r="F537" s="77"/>
      <c r="G537" s="77"/>
      <c r="H537" s="176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 spans="1:32" ht="14.4" customHeight="1" x14ac:dyDescent="0.25">
      <c r="A538" s="77"/>
      <c r="B538" s="77"/>
      <c r="C538" s="77"/>
      <c r="D538" s="77"/>
      <c r="E538" s="77"/>
      <c r="F538" s="77"/>
      <c r="G538" s="77"/>
      <c r="H538" s="176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 spans="1:32" ht="14.4" customHeight="1" x14ac:dyDescent="0.25">
      <c r="A539" s="77"/>
      <c r="B539" s="77"/>
      <c r="C539" s="77"/>
      <c r="D539" s="77"/>
      <c r="E539" s="77"/>
      <c r="F539" s="77"/>
      <c r="G539" s="77"/>
      <c r="H539" s="176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 spans="1:32" ht="14.4" customHeight="1" x14ac:dyDescent="0.25">
      <c r="A540" s="77"/>
      <c r="B540" s="77"/>
      <c r="C540" s="77"/>
      <c r="D540" s="77"/>
      <c r="E540" s="77"/>
      <c r="F540" s="77"/>
      <c r="G540" s="77"/>
      <c r="H540" s="176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 spans="1:32" ht="14.4" customHeight="1" x14ac:dyDescent="0.25">
      <c r="A541" s="77"/>
      <c r="B541" s="77"/>
      <c r="C541" s="77"/>
      <c r="D541" s="77"/>
      <c r="E541" s="77"/>
      <c r="F541" s="77"/>
      <c r="G541" s="77"/>
      <c r="H541" s="176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 spans="1:32" ht="14.4" customHeight="1" x14ac:dyDescent="0.25">
      <c r="A542" s="77"/>
      <c r="B542" s="77"/>
      <c r="C542" s="77"/>
      <c r="D542" s="77"/>
      <c r="E542" s="77"/>
      <c r="F542" s="77"/>
      <c r="G542" s="77"/>
      <c r="H542" s="176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 spans="1:32" ht="14.4" customHeight="1" x14ac:dyDescent="0.25">
      <c r="A543" s="77"/>
      <c r="B543" s="77"/>
      <c r="C543" s="77"/>
      <c r="D543" s="77"/>
      <c r="E543" s="77"/>
      <c r="F543" s="77"/>
      <c r="G543" s="77"/>
      <c r="H543" s="176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 spans="1:32" ht="14.4" customHeight="1" x14ac:dyDescent="0.25">
      <c r="A544" s="77"/>
      <c r="B544" s="77"/>
      <c r="C544" s="77"/>
      <c r="D544" s="77"/>
      <c r="E544" s="77"/>
      <c r="F544" s="77"/>
      <c r="G544" s="77"/>
      <c r="H544" s="176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 spans="1:32" ht="14.4" customHeight="1" x14ac:dyDescent="0.25">
      <c r="A545" s="77"/>
      <c r="B545" s="77"/>
      <c r="C545" s="77"/>
      <c r="D545" s="77"/>
      <c r="E545" s="77"/>
      <c r="F545" s="77"/>
      <c r="G545" s="77"/>
      <c r="H545" s="176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 spans="1:32" ht="14.4" customHeight="1" x14ac:dyDescent="0.25">
      <c r="A546" s="77"/>
      <c r="B546" s="77"/>
      <c r="C546" s="77"/>
      <c r="D546" s="77"/>
      <c r="E546" s="77"/>
      <c r="F546" s="77"/>
      <c r="G546" s="77"/>
      <c r="H546" s="176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 spans="1:32" ht="14.4" customHeight="1" x14ac:dyDescent="0.25">
      <c r="A547" s="77"/>
      <c r="B547" s="77"/>
      <c r="C547" s="77"/>
      <c r="D547" s="77"/>
      <c r="E547" s="77"/>
      <c r="F547" s="77"/>
      <c r="G547" s="77"/>
      <c r="H547" s="176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 spans="1:32" ht="14.4" customHeight="1" x14ac:dyDescent="0.25">
      <c r="A548" s="77"/>
      <c r="B548" s="77"/>
      <c r="C548" s="77"/>
      <c r="D548" s="77"/>
      <c r="E548" s="77"/>
      <c r="F548" s="77"/>
      <c r="G548" s="77"/>
      <c r="H548" s="176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 spans="1:32" ht="14.4" customHeight="1" x14ac:dyDescent="0.25">
      <c r="A549" s="77"/>
      <c r="B549" s="77"/>
      <c r="C549" s="77"/>
      <c r="D549" s="77"/>
      <c r="E549" s="77"/>
      <c r="F549" s="77"/>
      <c r="G549" s="77"/>
      <c r="H549" s="176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 spans="1:32" ht="14.4" customHeight="1" x14ac:dyDescent="0.25">
      <c r="A550" s="77"/>
      <c r="B550" s="77"/>
      <c r="C550" s="77"/>
      <c r="D550" s="77"/>
      <c r="E550" s="77"/>
      <c r="F550" s="77"/>
      <c r="G550" s="77"/>
      <c r="H550" s="176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 spans="1:32" ht="14.4" customHeight="1" x14ac:dyDescent="0.25">
      <c r="A551" s="77"/>
      <c r="B551" s="77"/>
      <c r="C551" s="77"/>
      <c r="D551" s="77"/>
      <c r="E551" s="77"/>
      <c r="F551" s="77"/>
      <c r="G551" s="77"/>
      <c r="H551" s="176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 spans="1:32" ht="14.4" customHeight="1" x14ac:dyDescent="0.25">
      <c r="A552" s="77"/>
      <c r="B552" s="77"/>
      <c r="C552" s="77"/>
      <c r="D552" s="77"/>
      <c r="E552" s="77"/>
      <c r="F552" s="77"/>
      <c r="G552" s="77"/>
      <c r="H552" s="176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 spans="1:32" ht="14.4" customHeight="1" x14ac:dyDescent="0.25">
      <c r="A553" s="77"/>
      <c r="B553" s="77"/>
      <c r="C553" s="77"/>
      <c r="D553" s="77"/>
      <c r="E553" s="77"/>
      <c r="F553" s="77"/>
      <c r="G553" s="77"/>
      <c r="H553" s="176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 spans="1:32" ht="14.4" customHeight="1" x14ac:dyDescent="0.25">
      <c r="A554" s="77"/>
      <c r="B554" s="77"/>
      <c r="C554" s="77"/>
      <c r="D554" s="77"/>
      <c r="E554" s="77"/>
      <c r="F554" s="77"/>
      <c r="G554" s="77"/>
      <c r="H554" s="176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 spans="1:32" ht="14.4" customHeight="1" x14ac:dyDescent="0.25">
      <c r="A555" s="77"/>
      <c r="B555" s="77"/>
      <c r="C555" s="77"/>
      <c r="D555" s="77"/>
      <c r="E555" s="77"/>
      <c r="F555" s="77"/>
      <c r="G555" s="77"/>
      <c r="H555" s="176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 spans="1:32" ht="14.4" customHeight="1" x14ac:dyDescent="0.25">
      <c r="A556" s="77"/>
      <c r="B556" s="77"/>
      <c r="C556" s="77"/>
      <c r="D556" s="77"/>
      <c r="E556" s="77"/>
      <c r="F556" s="77"/>
      <c r="G556" s="77"/>
      <c r="H556" s="176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 spans="1:32" ht="14.4" customHeight="1" x14ac:dyDescent="0.25">
      <c r="A557" s="77"/>
      <c r="B557" s="77"/>
      <c r="C557" s="77"/>
      <c r="D557" s="77"/>
      <c r="E557" s="77"/>
      <c r="F557" s="77"/>
      <c r="G557" s="77"/>
      <c r="H557" s="176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 spans="1:32" ht="14.4" customHeight="1" x14ac:dyDescent="0.25">
      <c r="A558" s="77"/>
      <c r="B558" s="77"/>
      <c r="C558" s="77"/>
      <c r="D558" s="77"/>
      <c r="E558" s="77"/>
      <c r="F558" s="77"/>
      <c r="G558" s="77"/>
      <c r="H558" s="176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 spans="1:32" ht="14.4" customHeight="1" x14ac:dyDescent="0.25">
      <c r="A559" s="77"/>
      <c r="B559" s="77"/>
      <c r="C559" s="77"/>
      <c r="D559" s="77"/>
      <c r="E559" s="77"/>
      <c r="F559" s="77"/>
      <c r="G559" s="77"/>
      <c r="H559" s="176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 spans="1:32" ht="14.4" customHeight="1" x14ac:dyDescent="0.25">
      <c r="A560" s="77"/>
      <c r="B560" s="77"/>
      <c r="C560" s="77"/>
      <c r="D560" s="77"/>
      <c r="E560" s="77"/>
      <c r="F560" s="77"/>
      <c r="G560" s="77"/>
      <c r="H560" s="176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 spans="1:32" ht="14.4" customHeight="1" x14ac:dyDescent="0.25">
      <c r="A561" s="77"/>
      <c r="B561" s="77"/>
      <c r="C561" s="77"/>
      <c r="D561" s="77"/>
      <c r="E561" s="77"/>
      <c r="F561" s="77"/>
      <c r="G561" s="77"/>
      <c r="H561" s="176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 spans="1:32" ht="14.4" customHeight="1" x14ac:dyDescent="0.25">
      <c r="A562" s="77"/>
      <c r="B562" s="77"/>
      <c r="C562" s="77"/>
      <c r="D562" s="77"/>
      <c r="E562" s="77"/>
      <c r="F562" s="77"/>
      <c r="G562" s="77"/>
      <c r="H562" s="176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 spans="1:32" ht="14.4" customHeight="1" x14ac:dyDescent="0.25">
      <c r="A563" s="77"/>
      <c r="B563" s="77"/>
      <c r="C563" s="77"/>
      <c r="D563" s="77"/>
      <c r="E563" s="77"/>
      <c r="F563" s="77"/>
      <c r="G563" s="77"/>
      <c r="H563" s="176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 spans="1:32" ht="14.4" customHeight="1" x14ac:dyDescent="0.25">
      <c r="A564" s="77"/>
      <c r="B564" s="77"/>
      <c r="C564" s="77"/>
      <c r="D564" s="77"/>
      <c r="E564" s="77"/>
      <c r="F564" s="77"/>
      <c r="G564" s="77"/>
      <c r="H564" s="176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 spans="1:32" ht="14.4" customHeight="1" x14ac:dyDescent="0.25">
      <c r="A565" s="77"/>
      <c r="B565" s="77"/>
      <c r="C565" s="77"/>
      <c r="D565" s="77"/>
      <c r="E565" s="77"/>
      <c r="F565" s="77"/>
      <c r="G565" s="77"/>
      <c r="H565" s="176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 spans="1:32" ht="14.4" customHeight="1" x14ac:dyDescent="0.25">
      <c r="A566" s="77"/>
      <c r="B566" s="77"/>
      <c r="C566" s="77"/>
      <c r="D566" s="77"/>
      <c r="E566" s="77"/>
      <c r="F566" s="77"/>
      <c r="G566" s="77"/>
      <c r="H566" s="176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 spans="1:32" ht="14.4" customHeight="1" x14ac:dyDescent="0.25">
      <c r="A567" s="77"/>
      <c r="B567" s="77"/>
      <c r="C567" s="77"/>
      <c r="D567" s="77"/>
      <c r="E567" s="77"/>
      <c r="F567" s="77"/>
      <c r="G567" s="77"/>
      <c r="H567" s="176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 spans="1:32" ht="14.4" customHeight="1" x14ac:dyDescent="0.25">
      <c r="A568" s="77"/>
      <c r="B568" s="77"/>
      <c r="C568" s="77"/>
      <c r="D568" s="77"/>
      <c r="E568" s="77"/>
      <c r="F568" s="77"/>
      <c r="G568" s="77"/>
      <c r="H568" s="176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 spans="1:32" ht="14.4" customHeight="1" x14ac:dyDescent="0.25">
      <c r="A569" s="77"/>
      <c r="B569" s="77"/>
      <c r="C569" s="77"/>
      <c r="D569" s="77"/>
      <c r="E569" s="77"/>
      <c r="F569" s="77"/>
      <c r="G569" s="77"/>
      <c r="H569" s="176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 spans="1:32" ht="14.4" customHeight="1" x14ac:dyDescent="0.25">
      <c r="A570" s="77"/>
      <c r="B570" s="77"/>
      <c r="C570" s="77"/>
      <c r="D570" s="77"/>
      <c r="E570" s="77"/>
      <c r="F570" s="77"/>
      <c r="G570" s="77"/>
      <c r="H570" s="176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 spans="1:32" ht="14.4" customHeight="1" x14ac:dyDescent="0.25">
      <c r="A571" s="77"/>
      <c r="B571" s="77"/>
      <c r="C571" s="77"/>
      <c r="D571" s="77"/>
      <c r="E571" s="77"/>
      <c r="F571" s="77"/>
      <c r="G571" s="77"/>
      <c r="H571" s="176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 spans="1:32" ht="14.4" customHeight="1" x14ac:dyDescent="0.25">
      <c r="A572" s="77"/>
      <c r="B572" s="77"/>
      <c r="C572" s="77"/>
      <c r="D572" s="77"/>
      <c r="E572" s="77"/>
      <c r="F572" s="77"/>
      <c r="G572" s="77"/>
      <c r="H572" s="176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 spans="1:32" ht="14.4" customHeight="1" x14ac:dyDescent="0.25">
      <c r="A573" s="77"/>
      <c r="B573" s="77"/>
      <c r="C573" s="77"/>
      <c r="D573" s="77"/>
      <c r="E573" s="77"/>
      <c r="F573" s="77"/>
      <c r="G573" s="77"/>
      <c r="H573" s="176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 spans="1:32" ht="14.4" customHeight="1" x14ac:dyDescent="0.25">
      <c r="A574" s="77"/>
      <c r="B574" s="77"/>
      <c r="C574" s="77"/>
      <c r="D574" s="77"/>
      <c r="E574" s="77"/>
      <c r="F574" s="77"/>
      <c r="G574" s="77"/>
      <c r="H574" s="176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 spans="1:32" ht="14.4" customHeight="1" x14ac:dyDescent="0.25">
      <c r="A575" s="77"/>
      <c r="B575" s="77"/>
      <c r="C575" s="77"/>
      <c r="D575" s="77"/>
      <c r="E575" s="77"/>
      <c r="F575" s="77"/>
      <c r="G575" s="77"/>
      <c r="H575" s="176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 spans="1:32" ht="14.4" customHeight="1" x14ac:dyDescent="0.25">
      <c r="A576" s="77"/>
      <c r="B576" s="77"/>
      <c r="C576" s="77"/>
      <c r="D576" s="77"/>
      <c r="E576" s="77"/>
      <c r="F576" s="77"/>
      <c r="G576" s="77"/>
      <c r="H576" s="176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 spans="1:32" ht="14.4" customHeight="1" x14ac:dyDescent="0.25">
      <c r="A577" s="77"/>
      <c r="B577" s="77"/>
      <c r="C577" s="77"/>
      <c r="D577" s="77"/>
      <c r="E577" s="77"/>
      <c r="F577" s="77"/>
      <c r="G577" s="77"/>
      <c r="H577" s="176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 spans="1:32" ht="14.4" customHeight="1" x14ac:dyDescent="0.25">
      <c r="A578" s="77"/>
      <c r="B578" s="77"/>
      <c r="C578" s="77"/>
      <c r="D578" s="77"/>
      <c r="E578" s="77"/>
      <c r="F578" s="77"/>
      <c r="G578" s="77"/>
      <c r="H578" s="176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 spans="1:32" ht="14.4" customHeight="1" x14ac:dyDescent="0.25">
      <c r="A579" s="77"/>
      <c r="B579" s="77"/>
      <c r="C579" s="77"/>
      <c r="D579" s="77"/>
      <c r="E579" s="77"/>
      <c r="F579" s="77"/>
      <c r="G579" s="77"/>
      <c r="H579" s="176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 spans="1:32" ht="14.4" customHeight="1" x14ac:dyDescent="0.25">
      <c r="A580" s="77"/>
      <c r="B580" s="77"/>
      <c r="C580" s="77"/>
      <c r="D580" s="77"/>
      <c r="E580" s="77"/>
      <c r="F580" s="77"/>
      <c r="G580" s="77"/>
      <c r="H580" s="176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 spans="1:32" ht="14.4" customHeight="1" x14ac:dyDescent="0.25">
      <c r="A581" s="77"/>
      <c r="B581" s="77"/>
      <c r="C581" s="77"/>
      <c r="D581" s="77"/>
      <c r="E581" s="77"/>
      <c r="F581" s="77"/>
      <c r="G581" s="77"/>
      <c r="H581" s="176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 spans="1:32" ht="14.4" customHeight="1" x14ac:dyDescent="0.25">
      <c r="A582" s="77"/>
      <c r="B582" s="77"/>
      <c r="C582" s="77"/>
      <c r="D582" s="77"/>
      <c r="E582" s="77"/>
      <c r="F582" s="77"/>
      <c r="G582" s="77"/>
      <c r="H582" s="176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 spans="1:32" ht="14.4" customHeight="1" x14ac:dyDescent="0.25">
      <c r="A583" s="77"/>
      <c r="B583" s="77"/>
      <c r="C583" s="77"/>
      <c r="D583" s="77"/>
      <c r="E583" s="77"/>
      <c r="F583" s="77"/>
      <c r="G583" s="77"/>
      <c r="H583" s="176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 spans="1:32" ht="14.4" customHeight="1" x14ac:dyDescent="0.25">
      <c r="A584" s="77"/>
      <c r="B584" s="77"/>
      <c r="C584" s="77"/>
      <c r="D584" s="77"/>
      <c r="E584" s="77"/>
      <c r="F584" s="77"/>
      <c r="G584" s="77"/>
      <c r="H584" s="176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 spans="1:32" ht="14.4" customHeight="1" x14ac:dyDescent="0.25">
      <c r="A585" s="77"/>
      <c r="B585" s="77"/>
      <c r="C585" s="77"/>
      <c r="D585" s="77"/>
      <c r="E585" s="77"/>
      <c r="F585" s="77"/>
      <c r="G585" s="77"/>
      <c r="H585" s="176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 spans="1:32" ht="14.4" customHeight="1" x14ac:dyDescent="0.25">
      <c r="A586" s="77"/>
      <c r="B586" s="77"/>
      <c r="C586" s="77"/>
      <c r="D586" s="77"/>
      <c r="E586" s="77"/>
      <c r="F586" s="77"/>
      <c r="G586" s="77"/>
      <c r="H586" s="176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 spans="1:32" ht="14.4" customHeight="1" x14ac:dyDescent="0.25">
      <c r="A587" s="77"/>
      <c r="B587" s="77"/>
      <c r="C587" s="77"/>
      <c r="D587" s="77"/>
      <c r="E587" s="77"/>
      <c r="F587" s="77"/>
      <c r="G587" s="77"/>
      <c r="H587" s="176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 spans="1:32" ht="14.4" customHeight="1" x14ac:dyDescent="0.25">
      <c r="A588" s="77"/>
      <c r="B588" s="77"/>
      <c r="C588" s="77"/>
      <c r="D588" s="77"/>
      <c r="E588" s="77"/>
      <c r="F588" s="77"/>
      <c r="G588" s="77"/>
      <c r="H588" s="176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 spans="1:32" ht="14.4" customHeight="1" x14ac:dyDescent="0.25">
      <c r="A589" s="77"/>
      <c r="B589" s="77"/>
      <c r="C589" s="77"/>
      <c r="D589" s="77"/>
      <c r="E589" s="77"/>
      <c r="F589" s="77"/>
      <c r="G589" s="77"/>
      <c r="H589" s="176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 spans="1:32" ht="14.4" customHeight="1" x14ac:dyDescent="0.25">
      <c r="A590" s="77"/>
      <c r="B590" s="77"/>
      <c r="C590" s="77"/>
      <c r="D590" s="77"/>
      <c r="E590" s="77"/>
      <c r="F590" s="77"/>
      <c r="G590" s="77"/>
      <c r="H590" s="176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 spans="1:32" ht="14.4" customHeight="1" x14ac:dyDescent="0.25">
      <c r="A591" s="77"/>
      <c r="B591" s="77"/>
      <c r="C591" s="77"/>
      <c r="D591" s="77"/>
      <c r="E591" s="77"/>
      <c r="F591" s="77"/>
      <c r="G591" s="77"/>
      <c r="H591" s="176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 spans="1:32" ht="14.4" customHeight="1" x14ac:dyDescent="0.25">
      <c r="A592" s="77"/>
      <c r="B592" s="77"/>
      <c r="C592" s="77"/>
      <c r="D592" s="77"/>
      <c r="E592" s="77"/>
      <c r="F592" s="77"/>
      <c r="G592" s="77"/>
      <c r="H592" s="176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 spans="1:32" ht="14.4" customHeight="1" x14ac:dyDescent="0.25">
      <c r="A593" s="77"/>
      <c r="B593" s="77"/>
      <c r="C593" s="77"/>
      <c r="D593" s="77"/>
      <c r="E593" s="77"/>
      <c r="F593" s="77"/>
      <c r="G593" s="77"/>
      <c r="H593" s="176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 spans="1:32" ht="14.4" customHeight="1" x14ac:dyDescent="0.25">
      <c r="A594" s="77"/>
      <c r="B594" s="77"/>
      <c r="C594" s="77"/>
      <c r="D594" s="77"/>
      <c r="E594" s="77"/>
      <c r="F594" s="77"/>
      <c r="G594" s="77"/>
      <c r="H594" s="176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 spans="1:32" ht="14.4" customHeight="1" x14ac:dyDescent="0.25">
      <c r="A595" s="77"/>
      <c r="B595" s="77"/>
      <c r="C595" s="77"/>
      <c r="D595" s="77"/>
      <c r="E595" s="77"/>
      <c r="F595" s="77"/>
      <c r="G595" s="77"/>
      <c r="H595" s="176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 spans="1:32" ht="14.4" customHeight="1" x14ac:dyDescent="0.25">
      <c r="A596" s="77"/>
      <c r="B596" s="77"/>
      <c r="C596" s="77"/>
      <c r="D596" s="77"/>
      <c r="E596" s="77"/>
      <c r="F596" s="77"/>
      <c r="G596" s="77"/>
      <c r="H596" s="176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 spans="1:32" ht="14.4" customHeight="1" x14ac:dyDescent="0.25">
      <c r="A597" s="77"/>
      <c r="B597" s="77"/>
      <c r="C597" s="77"/>
      <c r="D597" s="77"/>
      <c r="E597" s="77"/>
      <c r="F597" s="77"/>
      <c r="G597" s="77"/>
      <c r="H597" s="176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 spans="1:32" ht="14.4" customHeight="1" x14ac:dyDescent="0.25">
      <c r="A598" s="77"/>
      <c r="B598" s="77"/>
      <c r="C598" s="77"/>
      <c r="D598" s="77"/>
      <c r="E598" s="77"/>
      <c r="F598" s="77"/>
      <c r="G598" s="77"/>
      <c r="H598" s="176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 spans="1:32" ht="14.4" customHeight="1" x14ac:dyDescent="0.25">
      <c r="A599" s="77"/>
      <c r="B599" s="77"/>
      <c r="C599" s="77"/>
      <c r="D599" s="77"/>
      <c r="E599" s="77"/>
      <c r="F599" s="77"/>
      <c r="G599" s="77"/>
      <c r="H599" s="176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 spans="1:32" ht="14.4" customHeight="1" x14ac:dyDescent="0.25">
      <c r="A600" s="77"/>
      <c r="B600" s="77"/>
      <c r="C600" s="77"/>
      <c r="D600" s="77"/>
      <c r="E600" s="77"/>
      <c r="F600" s="77"/>
      <c r="G600" s="77"/>
      <c r="H600" s="176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 spans="1:32" ht="14.4" customHeight="1" x14ac:dyDescent="0.25">
      <c r="A601" s="77"/>
      <c r="B601" s="77"/>
      <c r="C601" s="77"/>
      <c r="D601" s="77"/>
      <c r="E601" s="77"/>
      <c r="F601" s="77"/>
      <c r="G601" s="77"/>
      <c r="H601" s="176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 spans="1:32" ht="14.4" customHeight="1" x14ac:dyDescent="0.25">
      <c r="A602" s="77"/>
      <c r="B602" s="77"/>
      <c r="C602" s="77"/>
      <c r="D602" s="77"/>
      <c r="E602" s="77"/>
      <c r="F602" s="77"/>
      <c r="G602" s="77"/>
      <c r="H602" s="176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 spans="1:32" ht="14.4" customHeight="1" x14ac:dyDescent="0.25">
      <c r="A603" s="77"/>
      <c r="B603" s="77"/>
      <c r="C603" s="77"/>
      <c r="D603" s="77"/>
      <c r="E603" s="77"/>
      <c r="F603" s="77"/>
      <c r="G603" s="77"/>
      <c r="H603" s="176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 spans="1:32" ht="14.4" customHeight="1" x14ac:dyDescent="0.25">
      <c r="A604" s="77"/>
      <c r="B604" s="77"/>
      <c r="C604" s="77"/>
      <c r="D604" s="77"/>
      <c r="E604" s="77"/>
      <c r="F604" s="77"/>
      <c r="G604" s="77"/>
      <c r="H604" s="176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 spans="1:32" ht="14.4" customHeight="1" x14ac:dyDescent="0.25">
      <c r="A605" s="77"/>
      <c r="B605" s="77"/>
      <c r="C605" s="77"/>
      <c r="D605" s="77"/>
      <c r="E605" s="77"/>
      <c r="F605" s="77"/>
      <c r="G605" s="77"/>
      <c r="H605" s="176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 spans="1:32" ht="14.4" customHeight="1" x14ac:dyDescent="0.25">
      <c r="A606" s="77"/>
      <c r="B606" s="77"/>
      <c r="C606" s="77"/>
      <c r="D606" s="77"/>
      <c r="E606" s="77"/>
      <c r="F606" s="77"/>
      <c r="G606" s="77"/>
      <c r="H606" s="176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 spans="1:32" ht="14.4" customHeight="1" x14ac:dyDescent="0.25">
      <c r="A607" s="77"/>
      <c r="B607" s="77"/>
      <c r="C607" s="77"/>
      <c r="D607" s="77"/>
      <c r="E607" s="77"/>
      <c r="F607" s="77"/>
      <c r="G607" s="77"/>
      <c r="H607" s="176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 spans="1:32" ht="14.4" customHeight="1" x14ac:dyDescent="0.25">
      <c r="A608" s="77"/>
      <c r="B608" s="77"/>
      <c r="C608" s="77"/>
      <c r="D608" s="77"/>
      <c r="E608" s="77"/>
      <c r="F608" s="77"/>
      <c r="G608" s="77"/>
      <c r="H608" s="176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 spans="1:32" ht="14.4" customHeight="1" x14ac:dyDescent="0.25">
      <c r="A609" s="77"/>
      <c r="B609" s="77"/>
      <c r="C609" s="77"/>
      <c r="D609" s="77"/>
      <c r="E609" s="77"/>
      <c r="F609" s="77"/>
      <c r="G609" s="77"/>
      <c r="H609" s="176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 spans="1:32" ht="14.4" customHeight="1" x14ac:dyDescent="0.25">
      <c r="A610" s="77"/>
      <c r="B610" s="77"/>
      <c r="C610" s="77"/>
      <c r="D610" s="77"/>
      <c r="E610" s="77"/>
      <c r="F610" s="77"/>
      <c r="G610" s="77"/>
      <c r="H610" s="176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 spans="1:32" ht="14.4" customHeight="1" x14ac:dyDescent="0.25">
      <c r="A611" s="77"/>
      <c r="B611" s="77"/>
      <c r="C611" s="77"/>
      <c r="D611" s="77"/>
      <c r="E611" s="77"/>
      <c r="F611" s="77"/>
      <c r="G611" s="77"/>
      <c r="H611" s="176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 spans="1:32" ht="14.4" customHeight="1" x14ac:dyDescent="0.25">
      <c r="A612" s="77"/>
      <c r="B612" s="77"/>
      <c r="C612" s="77"/>
      <c r="D612" s="77"/>
      <c r="E612" s="77"/>
      <c r="F612" s="77"/>
      <c r="G612" s="77"/>
      <c r="H612" s="176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 spans="1:32" ht="14.4" customHeight="1" x14ac:dyDescent="0.25">
      <c r="A613" s="77"/>
      <c r="B613" s="77"/>
      <c r="C613" s="77"/>
      <c r="D613" s="77"/>
      <c r="E613" s="77"/>
      <c r="F613" s="77"/>
      <c r="G613" s="77"/>
      <c r="H613" s="176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 spans="1:32" ht="14.4" customHeight="1" x14ac:dyDescent="0.25">
      <c r="A614" s="77"/>
      <c r="B614" s="77"/>
      <c r="C614" s="77"/>
      <c r="D614" s="77"/>
      <c r="E614" s="77"/>
      <c r="F614" s="77"/>
      <c r="G614" s="77"/>
      <c r="H614" s="176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 spans="1:32" ht="14.4" customHeight="1" x14ac:dyDescent="0.25">
      <c r="A615" s="77"/>
      <c r="B615" s="77"/>
      <c r="C615" s="77"/>
      <c r="D615" s="77"/>
      <c r="E615" s="77"/>
      <c r="F615" s="77"/>
      <c r="G615" s="77"/>
      <c r="H615" s="176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 spans="1:32" ht="14.4" customHeight="1" x14ac:dyDescent="0.25">
      <c r="A616" s="77"/>
      <c r="B616" s="77"/>
      <c r="C616" s="77"/>
      <c r="D616" s="77"/>
      <c r="E616" s="77"/>
      <c r="F616" s="77"/>
      <c r="G616" s="77"/>
      <c r="H616" s="176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 spans="1:32" ht="14.4" customHeight="1" x14ac:dyDescent="0.25">
      <c r="A617" s="77"/>
      <c r="B617" s="77"/>
      <c r="C617" s="77"/>
      <c r="D617" s="77"/>
      <c r="E617" s="77"/>
      <c r="F617" s="77"/>
      <c r="G617" s="77"/>
      <c r="H617" s="176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 spans="1:32" ht="14.4" customHeight="1" x14ac:dyDescent="0.25">
      <c r="A618" s="77"/>
      <c r="B618" s="77"/>
      <c r="C618" s="77"/>
      <c r="D618" s="77"/>
      <c r="E618" s="77"/>
      <c r="F618" s="77"/>
      <c r="G618" s="77"/>
      <c r="H618" s="176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 spans="1:32" ht="14.4" customHeight="1" x14ac:dyDescent="0.25">
      <c r="A619" s="77"/>
      <c r="B619" s="77"/>
      <c r="C619" s="77"/>
      <c r="D619" s="77"/>
      <c r="E619" s="77"/>
      <c r="F619" s="77"/>
      <c r="G619" s="77"/>
      <c r="H619" s="176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 spans="1:32" ht="14.4" customHeight="1" x14ac:dyDescent="0.25">
      <c r="A620" s="77"/>
      <c r="B620" s="77"/>
      <c r="C620" s="77"/>
      <c r="D620" s="77"/>
      <c r="E620" s="77"/>
      <c r="F620" s="77"/>
      <c r="G620" s="77"/>
      <c r="H620" s="176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 spans="1:32" ht="14.4" customHeight="1" x14ac:dyDescent="0.25">
      <c r="A621" s="77"/>
      <c r="B621" s="77"/>
      <c r="C621" s="77"/>
      <c r="D621" s="77"/>
      <c r="E621" s="77"/>
      <c r="F621" s="77"/>
      <c r="G621" s="77"/>
      <c r="H621" s="176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 spans="1:32" ht="14.4" customHeight="1" x14ac:dyDescent="0.25">
      <c r="A622" s="77"/>
      <c r="B622" s="77"/>
      <c r="C622" s="77"/>
      <c r="D622" s="77"/>
      <c r="E622" s="77"/>
      <c r="F622" s="77"/>
      <c r="G622" s="77"/>
      <c r="H622" s="176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 spans="1:32" ht="14.4" customHeight="1" x14ac:dyDescent="0.25">
      <c r="A623" s="77"/>
      <c r="B623" s="77"/>
      <c r="C623" s="77"/>
      <c r="D623" s="77"/>
      <c r="E623" s="77"/>
      <c r="F623" s="77"/>
      <c r="G623" s="77"/>
      <c r="H623" s="176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 spans="1:32" ht="14.4" customHeight="1" x14ac:dyDescent="0.25">
      <c r="A624" s="77"/>
      <c r="B624" s="77"/>
      <c r="C624" s="77"/>
      <c r="D624" s="77"/>
      <c r="E624" s="77"/>
      <c r="F624" s="77"/>
      <c r="G624" s="77"/>
      <c r="H624" s="176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 spans="1:32" ht="14.4" customHeight="1" x14ac:dyDescent="0.25">
      <c r="A625" s="77"/>
      <c r="B625" s="77"/>
      <c r="C625" s="77"/>
      <c r="D625" s="77"/>
      <c r="E625" s="77"/>
      <c r="F625" s="77"/>
      <c r="G625" s="77"/>
      <c r="H625" s="176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 spans="1:32" ht="14.4" customHeight="1" x14ac:dyDescent="0.25">
      <c r="A626" s="77"/>
      <c r="B626" s="77"/>
      <c r="C626" s="77"/>
      <c r="D626" s="77"/>
      <c r="E626" s="77"/>
      <c r="F626" s="77"/>
      <c r="G626" s="77"/>
      <c r="H626" s="176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 spans="1:32" ht="14.4" customHeight="1" x14ac:dyDescent="0.25">
      <c r="A627" s="77"/>
      <c r="B627" s="77"/>
      <c r="C627" s="77"/>
      <c r="D627" s="77"/>
      <c r="E627" s="77"/>
      <c r="F627" s="77"/>
      <c r="G627" s="77"/>
      <c r="H627" s="176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 spans="1:32" ht="14.4" customHeight="1" x14ac:dyDescent="0.25">
      <c r="A628" s="77"/>
      <c r="B628" s="77"/>
      <c r="C628" s="77"/>
      <c r="D628" s="77"/>
      <c r="E628" s="77"/>
      <c r="F628" s="77"/>
      <c r="G628" s="77"/>
      <c r="H628" s="176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 spans="1:32" ht="14.4" customHeight="1" x14ac:dyDescent="0.25">
      <c r="A629" s="77"/>
      <c r="B629" s="77"/>
      <c r="C629" s="77"/>
      <c r="D629" s="77"/>
      <c r="E629" s="77"/>
      <c r="F629" s="77"/>
      <c r="G629" s="77"/>
      <c r="H629" s="176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 spans="1:32" ht="14.4" customHeight="1" x14ac:dyDescent="0.25">
      <c r="A630" s="77"/>
      <c r="B630" s="77"/>
      <c r="C630" s="77"/>
      <c r="D630" s="77"/>
      <c r="E630" s="77"/>
      <c r="F630" s="77"/>
      <c r="G630" s="77"/>
      <c r="H630" s="176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 spans="1:32" ht="14.4" customHeight="1" x14ac:dyDescent="0.25">
      <c r="A631" s="77"/>
      <c r="B631" s="77"/>
      <c r="C631" s="77"/>
      <c r="D631" s="77"/>
      <c r="E631" s="77"/>
      <c r="F631" s="77"/>
      <c r="G631" s="77"/>
      <c r="H631" s="176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 spans="1:32" ht="14.4" customHeight="1" x14ac:dyDescent="0.25">
      <c r="A632" s="77"/>
      <c r="B632" s="77"/>
      <c r="C632" s="77"/>
      <c r="D632" s="77"/>
      <c r="E632" s="77"/>
      <c r="F632" s="77"/>
      <c r="G632" s="77"/>
      <c r="H632" s="176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 spans="1:32" ht="14.4" customHeight="1" x14ac:dyDescent="0.25">
      <c r="A633" s="77"/>
      <c r="B633" s="77"/>
      <c r="C633" s="77"/>
      <c r="D633" s="77"/>
      <c r="E633" s="77"/>
      <c r="F633" s="77"/>
      <c r="G633" s="77"/>
      <c r="H633" s="176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 spans="1:32" ht="14.4" customHeight="1" x14ac:dyDescent="0.25">
      <c r="A634" s="77"/>
      <c r="B634" s="77"/>
      <c r="C634" s="77"/>
      <c r="D634" s="77"/>
      <c r="E634" s="77"/>
      <c r="F634" s="77"/>
      <c r="G634" s="77"/>
      <c r="H634" s="176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 spans="1:32" ht="14.4" customHeight="1" x14ac:dyDescent="0.25">
      <c r="A635" s="77"/>
      <c r="B635" s="77"/>
      <c r="C635" s="77"/>
      <c r="D635" s="77"/>
      <c r="E635" s="77"/>
      <c r="F635" s="77"/>
      <c r="G635" s="77"/>
      <c r="H635" s="176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 spans="1:32" ht="14.4" customHeight="1" x14ac:dyDescent="0.25">
      <c r="A636" s="77"/>
      <c r="B636" s="77"/>
      <c r="C636" s="77"/>
      <c r="D636" s="77"/>
      <c r="E636" s="77"/>
      <c r="F636" s="77"/>
      <c r="G636" s="77"/>
      <c r="H636" s="176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 spans="1:32" ht="14.4" customHeight="1" x14ac:dyDescent="0.25">
      <c r="A637" s="77"/>
      <c r="B637" s="77"/>
      <c r="C637" s="77"/>
      <c r="D637" s="77"/>
      <c r="E637" s="77"/>
      <c r="F637" s="77"/>
      <c r="G637" s="77"/>
      <c r="H637" s="176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 spans="1:32" ht="14.4" customHeight="1" x14ac:dyDescent="0.25">
      <c r="A638" s="77"/>
      <c r="B638" s="77"/>
      <c r="C638" s="77"/>
      <c r="D638" s="77"/>
      <c r="E638" s="77"/>
      <c r="F638" s="77"/>
      <c r="G638" s="77"/>
      <c r="H638" s="176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 spans="1:32" ht="14.4" customHeight="1" x14ac:dyDescent="0.25">
      <c r="A639" s="77"/>
      <c r="B639" s="77"/>
      <c r="C639" s="77"/>
      <c r="D639" s="77"/>
      <c r="E639" s="77"/>
      <c r="F639" s="77"/>
      <c r="G639" s="77"/>
      <c r="H639" s="176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 spans="1:32" ht="14.4" customHeight="1" x14ac:dyDescent="0.25">
      <c r="A640" s="77"/>
      <c r="B640" s="77"/>
      <c r="C640" s="77"/>
      <c r="D640" s="77"/>
      <c r="E640" s="77"/>
      <c r="F640" s="77"/>
      <c r="G640" s="77"/>
      <c r="H640" s="176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 spans="1:32" ht="14.4" customHeight="1" x14ac:dyDescent="0.25">
      <c r="A641" s="77"/>
      <c r="B641" s="77"/>
      <c r="C641" s="77"/>
      <c r="D641" s="77"/>
      <c r="E641" s="77"/>
      <c r="F641" s="77"/>
      <c r="G641" s="77"/>
      <c r="H641" s="176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 spans="1:32" ht="14.4" customHeight="1" x14ac:dyDescent="0.25">
      <c r="A642" s="77"/>
      <c r="B642" s="77"/>
      <c r="C642" s="77"/>
      <c r="D642" s="77"/>
      <c r="E642" s="77"/>
      <c r="F642" s="77"/>
      <c r="G642" s="77"/>
      <c r="H642" s="176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 spans="1:32" ht="14.4" customHeight="1" x14ac:dyDescent="0.25">
      <c r="A643" s="77"/>
      <c r="B643" s="77"/>
      <c r="C643" s="77"/>
      <c r="D643" s="77"/>
      <c r="E643" s="77"/>
      <c r="F643" s="77"/>
      <c r="G643" s="77"/>
      <c r="H643" s="176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 spans="1:32" ht="14.4" customHeight="1" x14ac:dyDescent="0.25">
      <c r="A644" s="77"/>
      <c r="B644" s="77"/>
      <c r="C644" s="77"/>
      <c r="D644" s="77"/>
      <c r="E644" s="77"/>
      <c r="F644" s="77"/>
      <c r="G644" s="77"/>
      <c r="H644" s="176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 spans="1:32" ht="14.4" customHeight="1" x14ac:dyDescent="0.25">
      <c r="A645" s="77"/>
      <c r="B645" s="77"/>
      <c r="C645" s="77"/>
      <c r="D645" s="77"/>
      <c r="E645" s="77"/>
      <c r="F645" s="77"/>
      <c r="G645" s="77"/>
      <c r="H645" s="176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 spans="1:32" ht="14.4" customHeight="1" x14ac:dyDescent="0.25">
      <c r="A646" s="77"/>
      <c r="B646" s="77"/>
      <c r="C646" s="77"/>
      <c r="D646" s="77"/>
      <c r="E646" s="77"/>
      <c r="F646" s="77"/>
      <c r="G646" s="77"/>
      <c r="H646" s="176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 spans="1:32" ht="14.4" customHeight="1" x14ac:dyDescent="0.25">
      <c r="A647" s="77"/>
      <c r="B647" s="77"/>
      <c r="C647" s="77"/>
      <c r="D647" s="77"/>
      <c r="E647" s="77"/>
      <c r="F647" s="77"/>
      <c r="G647" s="77"/>
      <c r="H647" s="176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 spans="1:32" ht="14.4" customHeight="1" x14ac:dyDescent="0.25">
      <c r="A648" s="77"/>
      <c r="B648" s="77"/>
      <c r="C648" s="77"/>
      <c r="D648" s="77"/>
      <c r="E648" s="77"/>
      <c r="F648" s="77"/>
      <c r="G648" s="77"/>
      <c r="H648" s="176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 spans="1:32" ht="14.4" customHeight="1" x14ac:dyDescent="0.25">
      <c r="A649" s="77"/>
      <c r="B649" s="77"/>
      <c r="C649" s="77"/>
      <c r="D649" s="77"/>
      <c r="E649" s="77"/>
      <c r="F649" s="77"/>
      <c r="G649" s="77"/>
      <c r="H649" s="176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 spans="1:32" ht="14.4" customHeight="1" x14ac:dyDescent="0.25">
      <c r="A650" s="77"/>
      <c r="B650" s="77"/>
      <c r="C650" s="77"/>
      <c r="D650" s="77"/>
      <c r="E650" s="77"/>
      <c r="F650" s="77"/>
      <c r="G650" s="77"/>
      <c r="H650" s="176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 spans="1:32" ht="14.4" customHeight="1" x14ac:dyDescent="0.25">
      <c r="A651" s="77"/>
      <c r="B651" s="77"/>
      <c r="C651" s="77"/>
      <c r="D651" s="77"/>
      <c r="E651" s="77"/>
      <c r="F651" s="77"/>
      <c r="G651" s="77"/>
      <c r="H651" s="176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 spans="1:32" ht="14.4" customHeight="1" x14ac:dyDescent="0.25">
      <c r="A652" s="77"/>
      <c r="B652" s="77"/>
      <c r="C652" s="77"/>
      <c r="D652" s="77"/>
      <c r="E652" s="77"/>
      <c r="F652" s="77"/>
      <c r="G652" s="77"/>
      <c r="H652" s="176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 spans="1:32" ht="14.4" customHeight="1" x14ac:dyDescent="0.25">
      <c r="A653" s="77"/>
      <c r="B653" s="77"/>
      <c r="C653" s="77"/>
      <c r="D653" s="77"/>
      <c r="E653" s="77"/>
      <c r="F653" s="77"/>
      <c r="G653" s="77"/>
      <c r="H653" s="176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 spans="1:32" ht="14.4" customHeight="1" x14ac:dyDescent="0.25">
      <c r="A654" s="77"/>
      <c r="B654" s="77"/>
      <c r="C654" s="77"/>
      <c r="D654" s="77"/>
      <c r="E654" s="77"/>
      <c r="F654" s="77"/>
      <c r="G654" s="77"/>
      <c r="H654" s="176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 spans="1:32" ht="14.4" customHeight="1" x14ac:dyDescent="0.25">
      <c r="A655" s="77"/>
      <c r="B655" s="77"/>
      <c r="C655" s="77"/>
      <c r="D655" s="77"/>
      <c r="E655" s="77"/>
      <c r="F655" s="77"/>
      <c r="G655" s="77"/>
      <c r="H655" s="176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 spans="1:32" ht="14.4" customHeight="1" x14ac:dyDescent="0.25">
      <c r="A656" s="77"/>
      <c r="B656" s="77"/>
      <c r="C656" s="77"/>
      <c r="D656" s="77"/>
      <c r="E656" s="77"/>
      <c r="F656" s="77"/>
      <c r="G656" s="77"/>
      <c r="H656" s="176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 spans="1:32" ht="14.4" customHeight="1" x14ac:dyDescent="0.25">
      <c r="A657" s="77"/>
      <c r="B657" s="77"/>
      <c r="C657" s="77"/>
      <c r="D657" s="77"/>
      <c r="E657" s="77"/>
      <c r="F657" s="77"/>
      <c r="G657" s="77"/>
      <c r="H657" s="176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 spans="1:32" ht="14.4" customHeight="1" x14ac:dyDescent="0.25">
      <c r="A658" s="77"/>
      <c r="B658" s="77"/>
      <c r="C658" s="77"/>
      <c r="D658" s="77"/>
      <c r="E658" s="77"/>
      <c r="F658" s="77"/>
      <c r="G658" s="77"/>
      <c r="H658" s="176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 spans="1:32" ht="14.4" customHeight="1" x14ac:dyDescent="0.25">
      <c r="A659" s="77"/>
      <c r="B659" s="77"/>
      <c r="C659" s="77"/>
      <c r="D659" s="77"/>
      <c r="E659" s="77"/>
      <c r="F659" s="77"/>
      <c r="G659" s="77"/>
      <c r="H659" s="176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 spans="1:32" ht="14.4" customHeight="1" x14ac:dyDescent="0.25">
      <c r="A660" s="77"/>
      <c r="B660" s="77"/>
      <c r="C660" s="77"/>
      <c r="D660" s="77"/>
      <c r="E660" s="77"/>
      <c r="F660" s="77"/>
      <c r="G660" s="77"/>
      <c r="H660" s="176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 spans="1:32" ht="14.4" customHeight="1" x14ac:dyDescent="0.25">
      <c r="A661" s="77"/>
      <c r="B661" s="77"/>
      <c r="C661" s="77"/>
      <c r="D661" s="77"/>
      <c r="E661" s="77"/>
      <c r="F661" s="77"/>
      <c r="G661" s="77"/>
      <c r="H661" s="176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 spans="1:32" ht="14.4" customHeight="1" x14ac:dyDescent="0.25">
      <c r="A662" s="77"/>
      <c r="B662" s="77"/>
      <c r="C662" s="77"/>
      <c r="D662" s="77"/>
      <c r="E662" s="77"/>
      <c r="F662" s="77"/>
      <c r="G662" s="77"/>
      <c r="H662" s="176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 spans="1:32" ht="14.4" customHeight="1" x14ac:dyDescent="0.25">
      <c r="A663" s="77"/>
      <c r="B663" s="77"/>
      <c r="C663" s="77"/>
      <c r="D663" s="77"/>
      <c r="E663" s="77"/>
      <c r="F663" s="77"/>
      <c r="G663" s="77"/>
      <c r="H663" s="176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 spans="1:32" ht="14.4" customHeight="1" x14ac:dyDescent="0.25">
      <c r="A664" s="77"/>
      <c r="B664" s="77"/>
      <c r="C664" s="77"/>
      <c r="D664" s="77"/>
      <c r="E664" s="77"/>
      <c r="F664" s="77"/>
      <c r="G664" s="77"/>
      <c r="H664" s="176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 spans="1:32" ht="14.4" customHeight="1" x14ac:dyDescent="0.25">
      <c r="A665" s="77"/>
      <c r="B665" s="77"/>
      <c r="C665" s="77"/>
      <c r="D665" s="77"/>
      <c r="E665" s="77"/>
      <c r="F665" s="77"/>
      <c r="G665" s="77"/>
      <c r="H665" s="176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 spans="1:32" ht="14.4" customHeight="1" x14ac:dyDescent="0.25">
      <c r="A666" s="77"/>
      <c r="B666" s="77"/>
      <c r="C666" s="77"/>
      <c r="D666" s="77"/>
      <c r="E666" s="77"/>
      <c r="F666" s="77"/>
      <c r="G666" s="77"/>
      <c r="H666" s="176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 spans="1:32" ht="14.4" customHeight="1" x14ac:dyDescent="0.25">
      <c r="A667" s="77"/>
      <c r="B667" s="77"/>
      <c r="C667" s="77"/>
      <c r="D667" s="77"/>
      <c r="E667" s="77"/>
      <c r="F667" s="77"/>
      <c r="G667" s="77"/>
      <c r="H667" s="176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 spans="1:32" ht="14.4" customHeight="1" x14ac:dyDescent="0.25">
      <c r="A668" s="77"/>
      <c r="B668" s="77"/>
      <c r="C668" s="77"/>
      <c r="D668" s="77"/>
      <c r="E668" s="77"/>
      <c r="F668" s="77"/>
      <c r="G668" s="77"/>
      <c r="H668" s="176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 spans="1:32" ht="14.4" customHeight="1" x14ac:dyDescent="0.25">
      <c r="A669" s="77"/>
      <c r="B669" s="77"/>
      <c r="C669" s="77"/>
      <c r="D669" s="77"/>
      <c r="E669" s="77"/>
      <c r="F669" s="77"/>
      <c r="G669" s="77"/>
      <c r="H669" s="176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 spans="1:32" ht="14.4" customHeight="1" x14ac:dyDescent="0.25">
      <c r="A670" s="77"/>
      <c r="B670" s="77"/>
      <c r="C670" s="77"/>
      <c r="D670" s="77"/>
      <c r="E670" s="77"/>
      <c r="F670" s="77"/>
      <c r="G670" s="77"/>
      <c r="H670" s="176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 spans="1:32" ht="14.4" customHeight="1" x14ac:dyDescent="0.25">
      <c r="A671" s="77"/>
      <c r="B671" s="77"/>
      <c r="C671" s="77"/>
      <c r="D671" s="77"/>
      <c r="E671" s="77"/>
      <c r="F671" s="77"/>
      <c r="G671" s="77"/>
      <c r="H671" s="176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 spans="1:32" ht="14.4" customHeight="1" x14ac:dyDescent="0.25">
      <c r="A672" s="77"/>
      <c r="B672" s="77"/>
      <c r="C672" s="77"/>
      <c r="D672" s="77"/>
      <c r="E672" s="77"/>
      <c r="F672" s="77"/>
      <c r="G672" s="77"/>
      <c r="H672" s="176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 spans="1:32" ht="14.4" customHeight="1" x14ac:dyDescent="0.25">
      <c r="A673" s="77"/>
      <c r="B673" s="77"/>
      <c r="C673" s="77"/>
      <c r="D673" s="77"/>
      <c r="E673" s="77"/>
      <c r="F673" s="77"/>
      <c r="G673" s="77"/>
      <c r="H673" s="176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 spans="1:32" ht="14.4" customHeight="1" x14ac:dyDescent="0.25">
      <c r="A674" s="77"/>
      <c r="B674" s="77"/>
      <c r="C674" s="77"/>
      <c r="D674" s="77"/>
      <c r="E674" s="77"/>
      <c r="F674" s="77"/>
      <c r="G674" s="77"/>
      <c r="H674" s="176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 spans="1:32" ht="14.4" customHeight="1" x14ac:dyDescent="0.25">
      <c r="A675" s="77"/>
      <c r="B675" s="77"/>
      <c r="C675" s="77"/>
      <c r="D675" s="77"/>
      <c r="E675" s="77"/>
      <c r="F675" s="77"/>
      <c r="G675" s="77"/>
      <c r="H675" s="176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 spans="1:32" ht="14.4" customHeight="1" x14ac:dyDescent="0.25">
      <c r="A676" s="77"/>
      <c r="B676" s="77"/>
      <c r="C676" s="77"/>
      <c r="D676" s="77"/>
      <c r="E676" s="77"/>
      <c r="F676" s="77"/>
      <c r="G676" s="77"/>
      <c r="H676" s="176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 spans="1:32" ht="14.4" customHeight="1" x14ac:dyDescent="0.25">
      <c r="A677" s="77"/>
      <c r="B677" s="77"/>
      <c r="C677" s="77"/>
      <c r="D677" s="77"/>
      <c r="E677" s="77"/>
      <c r="F677" s="77"/>
      <c r="G677" s="77"/>
      <c r="H677" s="176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 spans="1:32" ht="14.4" customHeight="1" x14ac:dyDescent="0.25">
      <c r="A678" s="77"/>
      <c r="B678" s="77"/>
      <c r="C678" s="77"/>
      <c r="D678" s="77"/>
      <c r="E678" s="77"/>
      <c r="F678" s="77"/>
      <c r="G678" s="77"/>
      <c r="H678" s="176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 spans="1:32" ht="14.4" customHeight="1" x14ac:dyDescent="0.25">
      <c r="A679" s="77"/>
      <c r="B679" s="77"/>
      <c r="C679" s="77"/>
      <c r="D679" s="77"/>
      <c r="E679" s="77"/>
      <c r="F679" s="77"/>
      <c r="G679" s="77"/>
      <c r="H679" s="176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 spans="1:32" ht="14.4" customHeight="1" x14ac:dyDescent="0.25">
      <c r="A680" s="77"/>
      <c r="B680" s="77"/>
      <c r="C680" s="77"/>
      <c r="D680" s="77"/>
      <c r="E680" s="77"/>
      <c r="F680" s="77"/>
      <c r="G680" s="77"/>
      <c r="H680" s="176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 spans="1:32" ht="14.4" customHeight="1" x14ac:dyDescent="0.25">
      <c r="A681" s="77"/>
      <c r="B681" s="77"/>
      <c r="C681" s="77"/>
      <c r="D681" s="77"/>
      <c r="E681" s="77"/>
      <c r="F681" s="77"/>
      <c r="G681" s="77"/>
      <c r="H681" s="176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 spans="1:32" ht="14.4" customHeight="1" x14ac:dyDescent="0.25">
      <c r="A682" s="77"/>
      <c r="B682" s="77"/>
      <c r="C682" s="77"/>
      <c r="D682" s="77"/>
      <c r="E682" s="77"/>
      <c r="F682" s="77"/>
      <c r="G682" s="77"/>
      <c r="H682" s="176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 spans="1:32" ht="14.4" customHeight="1" x14ac:dyDescent="0.25">
      <c r="A683" s="77"/>
      <c r="B683" s="77"/>
      <c r="C683" s="77"/>
      <c r="D683" s="77"/>
      <c r="E683" s="77"/>
      <c r="F683" s="77"/>
      <c r="G683" s="77"/>
      <c r="H683" s="176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 spans="1:32" ht="14.4" customHeight="1" x14ac:dyDescent="0.25">
      <c r="A684" s="77"/>
      <c r="B684" s="77"/>
      <c r="C684" s="77"/>
      <c r="D684" s="77"/>
      <c r="E684" s="77"/>
      <c r="F684" s="77"/>
      <c r="G684" s="77"/>
      <c r="H684" s="176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 spans="1:32" ht="14.4" customHeight="1" x14ac:dyDescent="0.25">
      <c r="A685" s="77"/>
      <c r="B685" s="77"/>
      <c r="C685" s="77"/>
      <c r="D685" s="77"/>
      <c r="E685" s="77"/>
      <c r="F685" s="77"/>
      <c r="G685" s="77"/>
      <c r="H685" s="176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 spans="1:32" ht="14.4" customHeight="1" x14ac:dyDescent="0.25">
      <c r="A686" s="77"/>
      <c r="B686" s="77"/>
      <c r="C686" s="77"/>
      <c r="D686" s="77"/>
      <c r="E686" s="77"/>
      <c r="F686" s="77"/>
      <c r="G686" s="77"/>
      <c r="H686" s="176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 spans="1:32" ht="14.4" customHeight="1" x14ac:dyDescent="0.25">
      <c r="A687" s="77"/>
      <c r="B687" s="77"/>
      <c r="C687" s="77"/>
      <c r="D687" s="77"/>
      <c r="E687" s="77"/>
      <c r="F687" s="77"/>
      <c r="G687" s="77"/>
      <c r="H687" s="176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 spans="1:32" ht="14.4" customHeight="1" x14ac:dyDescent="0.25">
      <c r="A688" s="77"/>
      <c r="B688" s="77"/>
      <c r="C688" s="77"/>
      <c r="D688" s="77"/>
      <c r="E688" s="77"/>
      <c r="F688" s="77"/>
      <c r="G688" s="77"/>
      <c r="H688" s="176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 spans="1:32" ht="14.4" customHeight="1" x14ac:dyDescent="0.25">
      <c r="A689" s="77"/>
      <c r="B689" s="77"/>
      <c r="C689" s="77"/>
      <c r="D689" s="77"/>
      <c r="E689" s="77"/>
      <c r="F689" s="77"/>
      <c r="G689" s="77"/>
      <c r="H689" s="176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 spans="1:32" ht="14.4" customHeight="1" x14ac:dyDescent="0.25">
      <c r="A690" s="77"/>
      <c r="B690" s="77"/>
      <c r="C690" s="77"/>
      <c r="D690" s="77"/>
      <c r="E690" s="77"/>
      <c r="F690" s="77"/>
      <c r="G690" s="77"/>
      <c r="H690" s="176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 spans="1:32" ht="14.4" customHeight="1" x14ac:dyDescent="0.25">
      <c r="A691" s="77"/>
      <c r="B691" s="77"/>
      <c r="C691" s="77"/>
      <c r="D691" s="77"/>
      <c r="E691" s="77"/>
      <c r="F691" s="77"/>
      <c r="G691" s="77"/>
      <c r="H691" s="176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 spans="1:32" ht="14.4" customHeight="1" x14ac:dyDescent="0.25">
      <c r="A692" s="77"/>
      <c r="B692" s="77"/>
      <c r="C692" s="77"/>
      <c r="D692" s="77"/>
      <c r="E692" s="77"/>
      <c r="F692" s="77"/>
      <c r="G692" s="77"/>
      <c r="H692" s="176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 spans="1:32" ht="14.4" customHeight="1" x14ac:dyDescent="0.25">
      <c r="A693" s="77"/>
      <c r="B693" s="77"/>
      <c r="C693" s="77"/>
      <c r="D693" s="77"/>
      <c r="E693" s="77"/>
      <c r="F693" s="77"/>
      <c r="G693" s="77"/>
      <c r="H693" s="176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 spans="1:32" ht="14.4" customHeight="1" x14ac:dyDescent="0.25">
      <c r="A694" s="77"/>
      <c r="B694" s="77"/>
      <c r="C694" s="77"/>
      <c r="D694" s="77"/>
      <c r="E694" s="77"/>
      <c r="F694" s="77"/>
      <c r="G694" s="77"/>
      <c r="H694" s="176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 spans="1:32" ht="14.4" customHeight="1" x14ac:dyDescent="0.25">
      <c r="A695" s="77"/>
      <c r="B695" s="77"/>
      <c r="C695" s="77"/>
      <c r="D695" s="77"/>
      <c r="E695" s="77"/>
      <c r="F695" s="77"/>
      <c r="G695" s="77"/>
      <c r="H695" s="176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 spans="1:32" ht="14.4" customHeight="1" x14ac:dyDescent="0.25">
      <c r="A696" s="77"/>
      <c r="B696" s="77"/>
      <c r="C696" s="77"/>
      <c r="D696" s="77"/>
      <c r="E696" s="77"/>
      <c r="F696" s="77"/>
      <c r="G696" s="77"/>
      <c r="H696" s="176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 spans="1:32" ht="14.4" customHeight="1" x14ac:dyDescent="0.25">
      <c r="A697" s="77"/>
      <c r="B697" s="77"/>
      <c r="C697" s="77"/>
      <c r="D697" s="77"/>
      <c r="E697" s="77"/>
      <c r="F697" s="77"/>
      <c r="G697" s="77"/>
      <c r="H697" s="176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 spans="1:32" ht="14.4" customHeight="1" x14ac:dyDescent="0.25">
      <c r="A698" s="77"/>
      <c r="B698" s="77"/>
      <c r="C698" s="77"/>
      <c r="D698" s="77"/>
      <c r="E698" s="77"/>
      <c r="F698" s="77"/>
      <c r="G698" s="77"/>
      <c r="H698" s="176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 spans="1:32" ht="14.4" customHeight="1" x14ac:dyDescent="0.25">
      <c r="A699" s="77"/>
      <c r="B699" s="77"/>
      <c r="C699" s="77"/>
      <c r="D699" s="77"/>
      <c r="E699" s="77"/>
      <c r="F699" s="77"/>
      <c r="G699" s="77"/>
      <c r="H699" s="176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 spans="1:32" ht="14.4" customHeight="1" x14ac:dyDescent="0.25">
      <c r="A700" s="77"/>
      <c r="B700" s="77"/>
      <c r="C700" s="77"/>
      <c r="D700" s="77"/>
      <c r="E700" s="77"/>
      <c r="F700" s="77"/>
      <c r="G700" s="77"/>
      <c r="H700" s="176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 spans="1:32" ht="14.4" customHeight="1" x14ac:dyDescent="0.25">
      <c r="A701" s="77"/>
      <c r="B701" s="77"/>
      <c r="C701" s="77"/>
      <c r="D701" s="77"/>
      <c r="E701" s="77"/>
      <c r="F701" s="77"/>
      <c r="G701" s="77"/>
      <c r="H701" s="176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 spans="1:32" ht="14.4" customHeight="1" x14ac:dyDescent="0.25">
      <c r="A702" s="77"/>
      <c r="B702" s="77"/>
      <c r="C702" s="77"/>
      <c r="D702" s="77"/>
      <c r="E702" s="77"/>
      <c r="F702" s="77"/>
      <c r="G702" s="77"/>
      <c r="H702" s="176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 spans="1:32" ht="14.4" customHeight="1" x14ac:dyDescent="0.25">
      <c r="A703" s="77"/>
      <c r="B703" s="77"/>
      <c r="C703" s="77"/>
      <c r="D703" s="77"/>
      <c r="E703" s="77"/>
      <c r="F703" s="77"/>
      <c r="G703" s="77"/>
      <c r="H703" s="176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 spans="1:32" ht="14.4" customHeight="1" x14ac:dyDescent="0.25">
      <c r="A704" s="77"/>
      <c r="B704" s="77"/>
      <c r="C704" s="77"/>
      <c r="D704" s="77"/>
      <c r="E704" s="77"/>
      <c r="F704" s="77"/>
      <c r="G704" s="77"/>
      <c r="H704" s="176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 spans="1:32" ht="14.4" customHeight="1" x14ac:dyDescent="0.25">
      <c r="A705" s="77"/>
      <c r="B705" s="77"/>
      <c r="C705" s="77"/>
      <c r="D705" s="77"/>
      <c r="E705" s="77"/>
      <c r="F705" s="77"/>
      <c r="G705" s="77"/>
      <c r="H705" s="176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 spans="1:32" ht="14.4" customHeight="1" x14ac:dyDescent="0.25">
      <c r="A706" s="77"/>
      <c r="B706" s="77"/>
      <c r="C706" s="77"/>
      <c r="D706" s="77"/>
      <c r="E706" s="77"/>
      <c r="F706" s="77"/>
      <c r="G706" s="77"/>
      <c r="H706" s="176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 spans="1:32" ht="14.4" customHeight="1" x14ac:dyDescent="0.25">
      <c r="A707" s="77"/>
      <c r="B707" s="77"/>
      <c r="C707" s="77"/>
      <c r="D707" s="77"/>
      <c r="E707" s="77"/>
      <c r="F707" s="77"/>
      <c r="G707" s="77"/>
      <c r="H707" s="176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 spans="1:32" ht="14.4" customHeight="1" x14ac:dyDescent="0.25">
      <c r="A708" s="77"/>
      <c r="B708" s="77"/>
      <c r="C708" s="77"/>
      <c r="D708" s="77"/>
      <c r="E708" s="77"/>
      <c r="F708" s="77"/>
      <c r="G708" s="77"/>
      <c r="H708" s="176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 spans="1:32" ht="14.4" customHeight="1" x14ac:dyDescent="0.25">
      <c r="A709" s="77"/>
      <c r="B709" s="77"/>
      <c r="C709" s="77"/>
      <c r="D709" s="77"/>
      <c r="E709" s="77"/>
      <c r="F709" s="77"/>
      <c r="G709" s="77"/>
      <c r="H709" s="176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 spans="1:32" ht="14.4" customHeight="1" x14ac:dyDescent="0.25">
      <c r="A710" s="77"/>
      <c r="B710" s="77"/>
      <c r="C710" s="77"/>
      <c r="D710" s="77"/>
      <c r="E710" s="77"/>
      <c r="F710" s="77"/>
      <c r="G710" s="77"/>
      <c r="H710" s="176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 spans="1:32" ht="14.4" customHeight="1" x14ac:dyDescent="0.25">
      <c r="A711" s="77"/>
      <c r="B711" s="77"/>
      <c r="C711" s="77"/>
      <c r="D711" s="77"/>
      <c r="E711" s="77"/>
      <c r="F711" s="77"/>
      <c r="G711" s="77"/>
      <c r="H711" s="176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 spans="1:32" ht="14.4" customHeight="1" x14ac:dyDescent="0.25">
      <c r="A712" s="77"/>
      <c r="B712" s="77"/>
      <c r="C712" s="77"/>
      <c r="D712" s="77"/>
      <c r="E712" s="77"/>
      <c r="F712" s="77"/>
      <c r="G712" s="77"/>
      <c r="H712" s="176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 spans="1:32" ht="14.4" customHeight="1" x14ac:dyDescent="0.25">
      <c r="A713" s="77"/>
      <c r="B713" s="77"/>
      <c r="C713" s="77"/>
      <c r="D713" s="77"/>
      <c r="E713" s="77"/>
      <c r="F713" s="77"/>
      <c r="G713" s="77"/>
      <c r="H713" s="176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 spans="1:32" ht="14.4" customHeight="1" x14ac:dyDescent="0.25">
      <c r="A714" s="77"/>
      <c r="B714" s="77"/>
      <c r="C714" s="77"/>
      <c r="D714" s="77"/>
      <c r="E714" s="77"/>
      <c r="F714" s="77"/>
      <c r="G714" s="77"/>
      <c r="H714" s="176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 spans="1:32" ht="14.4" customHeight="1" x14ac:dyDescent="0.25">
      <c r="A715" s="77"/>
      <c r="B715" s="77"/>
      <c r="C715" s="77"/>
      <c r="D715" s="77"/>
      <c r="E715" s="77"/>
      <c r="F715" s="77"/>
      <c r="G715" s="77"/>
      <c r="H715" s="176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 spans="1:32" ht="14.4" customHeight="1" x14ac:dyDescent="0.25">
      <c r="A716" s="77"/>
      <c r="B716" s="77"/>
      <c r="C716" s="77"/>
      <c r="D716" s="77"/>
      <c r="E716" s="77"/>
      <c r="F716" s="77"/>
      <c r="G716" s="77"/>
      <c r="H716" s="176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 spans="1:32" ht="14.4" customHeight="1" x14ac:dyDescent="0.25">
      <c r="A717" s="77"/>
      <c r="B717" s="77"/>
      <c r="C717" s="77"/>
      <c r="D717" s="77"/>
      <c r="E717" s="77"/>
      <c r="F717" s="77"/>
      <c r="G717" s="77"/>
      <c r="H717" s="176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 spans="1:32" ht="14.4" customHeight="1" x14ac:dyDescent="0.25">
      <c r="A718" s="77"/>
      <c r="B718" s="77"/>
      <c r="C718" s="77"/>
      <c r="D718" s="77"/>
      <c r="E718" s="77"/>
      <c r="F718" s="77"/>
      <c r="G718" s="77"/>
      <c r="H718" s="176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 spans="1:32" ht="14.4" customHeight="1" x14ac:dyDescent="0.25">
      <c r="A719" s="77"/>
      <c r="B719" s="77"/>
      <c r="C719" s="77"/>
      <c r="D719" s="77"/>
      <c r="E719" s="77"/>
      <c r="F719" s="77"/>
      <c r="G719" s="77"/>
      <c r="H719" s="176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 spans="1:32" ht="14.4" customHeight="1" x14ac:dyDescent="0.25">
      <c r="A720" s="77"/>
      <c r="B720" s="77"/>
      <c r="C720" s="77"/>
      <c r="D720" s="77"/>
      <c r="E720" s="77"/>
      <c r="F720" s="77"/>
      <c r="G720" s="77"/>
      <c r="H720" s="176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 spans="1:32" ht="14.4" customHeight="1" x14ac:dyDescent="0.25">
      <c r="A721" s="77"/>
      <c r="B721" s="77"/>
      <c r="C721" s="77"/>
      <c r="D721" s="77"/>
      <c r="E721" s="77"/>
      <c r="F721" s="77"/>
      <c r="G721" s="77"/>
      <c r="H721" s="176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 spans="1:32" ht="14.4" customHeight="1" x14ac:dyDescent="0.25">
      <c r="A722" s="77"/>
      <c r="B722" s="77"/>
      <c r="C722" s="77"/>
      <c r="D722" s="77"/>
      <c r="E722" s="77"/>
      <c r="F722" s="77"/>
      <c r="G722" s="77"/>
      <c r="H722" s="176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 spans="1:32" ht="14.4" customHeight="1" x14ac:dyDescent="0.25">
      <c r="A723" s="77"/>
      <c r="B723" s="77"/>
      <c r="C723" s="77"/>
      <c r="D723" s="77"/>
      <c r="E723" s="77"/>
      <c r="F723" s="77"/>
      <c r="G723" s="77"/>
      <c r="H723" s="176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 spans="1:32" ht="14.4" customHeight="1" x14ac:dyDescent="0.25">
      <c r="A724" s="77"/>
      <c r="B724" s="77"/>
      <c r="C724" s="77"/>
      <c r="D724" s="77"/>
      <c r="E724" s="77"/>
      <c r="F724" s="77"/>
      <c r="G724" s="77"/>
      <c r="H724" s="176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 spans="1:32" ht="14.4" customHeight="1" x14ac:dyDescent="0.25">
      <c r="A725" s="77"/>
      <c r="B725" s="77"/>
      <c r="C725" s="77"/>
      <c r="D725" s="77"/>
      <c r="E725" s="77"/>
      <c r="F725" s="77"/>
      <c r="G725" s="77"/>
      <c r="H725" s="176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 spans="1:32" ht="14.4" customHeight="1" x14ac:dyDescent="0.25">
      <c r="A726" s="77"/>
      <c r="B726" s="77"/>
      <c r="C726" s="77"/>
      <c r="D726" s="77"/>
      <c r="E726" s="77"/>
      <c r="F726" s="77"/>
      <c r="G726" s="77"/>
      <c r="H726" s="176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 spans="1:32" ht="14.4" customHeight="1" x14ac:dyDescent="0.25">
      <c r="A727" s="77"/>
      <c r="B727" s="77"/>
      <c r="C727" s="77"/>
      <c r="D727" s="77"/>
      <c r="E727" s="77"/>
      <c r="F727" s="77"/>
      <c r="G727" s="77"/>
      <c r="H727" s="176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 spans="1:32" ht="14.4" customHeight="1" x14ac:dyDescent="0.25">
      <c r="A728" s="77"/>
      <c r="B728" s="77"/>
      <c r="C728" s="77"/>
      <c r="D728" s="77"/>
      <c r="E728" s="77"/>
      <c r="F728" s="77"/>
      <c r="G728" s="77"/>
      <c r="H728" s="176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 spans="1:32" ht="14.4" customHeight="1" x14ac:dyDescent="0.25">
      <c r="A729" s="77"/>
      <c r="B729" s="77"/>
      <c r="C729" s="77"/>
      <c r="D729" s="77"/>
      <c r="E729" s="77"/>
      <c r="F729" s="77"/>
      <c r="G729" s="77"/>
      <c r="H729" s="176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 spans="1:32" ht="14.4" customHeight="1" x14ac:dyDescent="0.25">
      <c r="A730" s="77"/>
      <c r="B730" s="77"/>
      <c r="C730" s="77"/>
      <c r="D730" s="77"/>
      <c r="E730" s="77"/>
      <c r="F730" s="77"/>
      <c r="G730" s="77"/>
      <c r="H730" s="176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 spans="1:32" ht="14.4" customHeight="1" x14ac:dyDescent="0.25">
      <c r="A731" s="77"/>
      <c r="B731" s="77"/>
      <c r="C731" s="77"/>
      <c r="D731" s="77"/>
      <c r="E731" s="77"/>
      <c r="F731" s="77"/>
      <c r="G731" s="77"/>
      <c r="H731" s="176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 spans="1:32" ht="14.4" customHeight="1" x14ac:dyDescent="0.25">
      <c r="A732" s="77"/>
      <c r="B732" s="77"/>
      <c r="C732" s="77"/>
      <c r="D732" s="77"/>
      <c r="E732" s="77"/>
      <c r="F732" s="77"/>
      <c r="G732" s="77"/>
      <c r="H732" s="176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 spans="1:32" ht="14.4" customHeight="1" x14ac:dyDescent="0.25">
      <c r="A733" s="77"/>
      <c r="B733" s="77"/>
      <c r="C733" s="77"/>
      <c r="D733" s="77"/>
      <c r="E733" s="77"/>
      <c r="F733" s="77"/>
      <c r="G733" s="77"/>
      <c r="H733" s="176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 spans="1:32" ht="14.4" customHeight="1" x14ac:dyDescent="0.25">
      <c r="A734" s="77"/>
      <c r="B734" s="77"/>
      <c r="C734" s="77"/>
      <c r="D734" s="77"/>
      <c r="E734" s="77"/>
      <c r="F734" s="77"/>
      <c r="G734" s="77"/>
      <c r="H734" s="176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 spans="1:32" ht="14.4" customHeight="1" x14ac:dyDescent="0.25">
      <c r="A735" s="77"/>
      <c r="B735" s="77"/>
      <c r="C735" s="77"/>
      <c r="D735" s="77"/>
      <c r="E735" s="77"/>
      <c r="F735" s="77"/>
      <c r="G735" s="77"/>
      <c r="H735" s="176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 spans="1:32" ht="14.4" customHeight="1" x14ac:dyDescent="0.25">
      <c r="A736" s="77"/>
      <c r="B736" s="77"/>
      <c r="C736" s="77"/>
      <c r="D736" s="77"/>
      <c r="E736" s="77"/>
      <c r="F736" s="77"/>
      <c r="G736" s="77"/>
      <c r="H736" s="176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 spans="1:32" ht="14.4" customHeight="1" x14ac:dyDescent="0.25">
      <c r="A737" s="77"/>
      <c r="B737" s="77"/>
      <c r="C737" s="77"/>
      <c r="D737" s="77"/>
      <c r="E737" s="77"/>
      <c r="F737" s="77"/>
      <c r="G737" s="77"/>
      <c r="H737" s="176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 spans="1:32" ht="14.4" customHeight="1" x14ac:dyDescent="0.25">
      <c r="A738" s="77"/>
      <c r="B738" s="77"/>
      <c r="C738" s="77"/>
      <c r="D738" s="77"/>
      <c r="E738" s="77"/>
      <c r="F738" s="77"/>
      <c r="G738" s="77"/>
      <c r="H738" s="176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 spans="1:32" ht="14.4" customHeight="1" x14ac:dyDescent="0.25">
      <c r="A739" s="77"/>
      <c r="B739" s="77"/>
      <c r="C739" s="77"/>
      <c r="D739" s="77"/>
      <c r="E739" s="77"/>
      <c r="F739" s="77"/>
      <c r="G739" s="77"/>
      <c r="H739" s="176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 spans="1:32" ht="14.4" customHeight="1" x14ac:dyDescent="0.25">
      <c r="A740" s="77"/>
      <c r="B740" s="77"/>
      <c r="C740" s="77"/>
      <c r="D740" s="77"/>
      <c r="E740" s="77"/>
      <c r="F740" s="77"/>
      <c r="G740" s="77"/>
      <c r="H740" s="176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 spans="1:32" ht="14.4" customHeight="1" x14ac:dyDescent="0.25">
      <c r="A741" s="77"/>
      <c r="B741" s="77"/>
      <c r="C741" s="77"/>
      <c r="D741" s="77"/>
      <c r="E741" s="77"/>
      <c r="F741" s="77"/>
      <c r="G741" s="77"/>
      <c r="H741" s="176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 spans="1:32" ht="14.4" customHeight="1" x14ac:dyDescent="0.25">
      <c r="A742" s="77"/>
      <c r="B742" s="77"/>
      <c r="C742" s="77"/>
      <c r="D742" s="77"/>
      <c r="E742" s="77"/>
      <c r="F742" s="77"/>
      <c r="G742" s="77"/>
      <c r="H742" s="176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 spans="1:32" ht="14.4" customHeight="1" x14ac:dyDescent="0.25">
      <c r="A743" s="77"/>
      <c r="B743" s="77"/>
      <c r="C743" s="77"/>
      <c r="D743" s="77"/>
      <c r="E743" s="77"/>
      <c r="F743" s="77"/>
      <c r="G743" s="77"/>
      <c r="H743" s="176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 spans="1:32" ht="14.4" customHeight="1" x14ac:dyDescent="0.25">
      <c r="A744" s="77"/>
      <c r="B744" s="77"/>
      <c r="C744" s="77"/>
      <c r="D744" s="77"/>
      <c r="E744" s="77"/>
      <c r="F744" s="77"/>
      <c r="G744" s="77"/>
      <c r="H744" s="176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 spans="1:32" ht="14.4" customHeight="1" x14ac:dyDescent="0.25">
      <c r="A745" s="77"/>
      <c r="B745" s="77"/>
      <c r="C745" s="77"/>
      <c r="D745" s="77"/>
      <c r="E745" s="77"/>
      <c r="F745" s="77"/>
      <c r="G745" s="77"/>
      <c r="H745" s="176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 spans="1:32" ht="14.4" customHeight="1" x14ac:dyDescent="0.25">
      <c r="A746" s="77"/>
      <c r="B746" s="77"/>
      <c r="C746" s="77"/>
      <c r="D746" s="77"/>
      <c r="E746" s="77"/>
      <c r="F746" s="77"/>
      <c r="G746" s="77"/>
      <c r="H746" s="176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 spans="1:32" ht="14.4" customHeight="1" x14ac:dyDescent="0.25">
      <c r="A747" s="77"/>
      <c r="B747" s="77"/>
      <c r="C747" s="77"/>
      <c r="D747" s="77"/>
      <c r="E747" s="77"/>
      <c r="F747" s="77"/>
      <c r="G747" s="77"/>
      <c r="H747" s="176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 spans="1:32" ht="14.4" customHeight="1" x14ac:dyDescent="0.25">
      <c r="A748" s="77"/>
      <c r="B748" s="77"/>
      <c r="C748" s="77"/>
      <c r="D748" s="77"/>
      <c r="E748" s="77"/>
      <c r="F748" s="77"/>
      <c r="G748" s="77"/>
      <c r="H748" s="176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 spans="1:32" ht="14.4" customHeight="1" x14ac:dyDescent="0.25">
      <c r="A749" s="77"/>
      <c r="B749" s="77"/>
      <c r="C749" s="77"/>
      <c r="D749" s="77"/>
      <c r="E749" s="77"/>
      <c r="F749" s="77"/>
      <c r="G749" s="77"/>
      <c r="H749" s="176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 spans="1:32" ht="14.4" customHeight="1" x14ac:dyDescent="0.25">
      <c r="A750" s="77"/>
      <c r="B750" s="77"/>
      <c r="C750" s="77"/>
      <c r="D750" s="77"/>
      <c r="E750" s="77"/>
      <c r="F750" s="77"/>
      <c r="G750" s="77"/>
      <c r="H750" s="176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 spans="1:32" ht="14.4" customHeight="1" x14ac:dyDescent="0.25">
      <c r="A751" s="77"/>
      <c r="B751" s="77"/>
      <c r="C751" s="77"/>
      <c r="D751" s="77"/>
      <c r="E751" s="77"/>
      <c r="F751" s="77"/>
      <c r="G751" s="77"/>
      <c r="H751" s="176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 spans="1:32" ht="14.4" customHeight="1" x14ac:dyDescent="0.25">
      <c r="A752" s="77"/>
      <c r="B752" s="77"/>
      <c r="C752" s="77"/>
      <c r="D752" s="77"/>
      <c r="E752" s="77"/>
      <c r="F752" s="77"/>
      <c r="G752" s="77"/>
      <c r="H752" s="176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 spans="1:32" ht="14.4" customHeight="1" x14ac:dyDescent="0.25">
      <c r="A753" s="77"/>
      <c r="B753" s="77"/>
      <c r="C753" s="77"/>
      <c r="D753" s="77"/>
      <c r="E753" s="77"/>
      <c r="F753" s="77"/>
      <c r="G753" s="77"/>
      <c r="H753" s="176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 spans="1:32" ht="14.4" customHeight="1" x14ac:dyDescent="0.25">
      <c r="A754" s="77"/>
      <c r="B754" s="77"/>
      <c r="C754" s="77"/>
      <c r="D754" s="77"/>
      <c r="E754" s="77"/>
      <c r="F754" s="77"/>
      <c r="G754" s="77"/>
      <c r="H754" s="176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 spans="1:32" ht="14.4" customHeight="1" x14ac:dyDescent="0.25">
      <c r="A755" s="77"/>
      <c r="B755" s="77"/>
      <c r="C755" s="77"/>
      <c r="D755" s="77"/>
      <c r="E755" s="77"/>
      <c r="F755" s="77"/>
      <c r="G755" s="77"/>
      <c r="H755" s="176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 spans="1:32" ht="14.4" customHeight="1" x14ac:dyDescent="0.25">
      <c r="A756" s="77"/>
      <c r="B756" s="77"/>
      <c r="C756" s="77"/>
      <c r="D756" s="77"/>
      <c r="E756" s="77"/>
      <c r="F756" s="77"/>
      <c r="G756" s="77"/>
      <c r="H756" s="176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 spans="1:32" ht="14.4" customHeight="1" x14ac:dyDescent="0.25">
      <c r="A757" s="77"/>
      <c r="B757" s="77"/>
      <c r="C757" s="77"/>
      <c r="D757" s="77"/>
      <c r="E757" s="77"/>
      <c r="F757" s="77"/>
      <c r="G757" s="77"/>
      <c r="H757" s="176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 spans="1:32" ht="14.4" customHeight="1" x14ac:dyDescent="0.25">
      <c r="A758" s="77"/>
      <c r="B758" s="77"/>
      <c r="C758" s="77"/>
      <c r="D758" s="77"/>
      <c r="E758" s="77"/>
      <c r="F758" s="77"/>
      <c r="G758" s="77"/>
      <c r="H758" s="176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 spans="1:32" ht="14.4" customHeight="1" x14ac:dyDescent="0.25">
      <c r="A759" s="77"/>
      <c r="B759" s="77"/>
      <c r="C759" s="77"/>
      <c r="D759" s="77"/>
      <c r="E759" s="77"/>
      <c r="F759" s="77"/>
      <c r="G759" s="77"/>
      <c r="H759" s="176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 spans="1:32" ht="14.4" customHeight="1" x14ac:dyDescent="0.25">
      <c r="A760" s="77"/>
      <c r="B760" s="77"/>
      <c r="C760" s="77"/>
      <c r="D760" s="77"/>
      <c r="E760" s="77"/>
      <c r="F760" s="77"/>
      <c r="G760" s="77"/>
      <c r="H760" s="176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 spans="1:32" ht="14.4" customHeight="1" x14ac:dyDescent="0.25">
      <c r="A761" s="77"/>
      <c r="B761" s="77"/>
      <c r="C761" s="77"/>
      <c r="D761" s="77"/>
      <c r="E761" s="77"/>
      <c r="F761" s="77"/>
      <c r="G761" s="77"/>
      <c r="H761" s="176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 spans="1:32" ht="14.4" customHeight="1" x14ac:dyDescent="0.25">
      <c r="A762" s="77"/>
      <c r="B762" s="77"/>
      <c r="C762" s="77"/>
      <c r="D762" s="77"/>
      <c r="E762" s="77"/>
      <c r="F762" s="77"/>
      <c r="G762" s="77"/>
      <c r="H762" s="176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 spans="1:32" ht="14.4" customHeight="1" x14ac:dyDescent="0.25">
      <c r="A763" s="77"/>
      <c r="B763" s="77"/>
      <c r="C763" s="77"/>
      <c r="D763" s="77"/>
      <c r="E763" s="77"/>
      <c r="F763" s="77"/>
      <c r="G763" s="77"/>
      <c r="H763" s="176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 spans="1:32" ht="14.4" customHeight="1" x14ac:dyDescent="0.25">
      <c r="A764" s="77"/>
      <c r="B764" s="77"/>
      <c r="C764" s="77"/>
      <c r="D764" s="77"/>
      <c r="E764" s="77"/>
      <c r="F764" s="77"/>
      <c r="G764" s="77"/>
      <c r="H764" s="176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 spans="1:32" ht="14.4" customHeight="1" x14ac:dyDescent="0.25">
      <c r="A765" s="77"/>
      <c r="B765" s="77"/>
      <c r="C765" s="77"/>
      <c r="D765" s="77"/>
      <c r="E765" s="77"/>
      <c r="F765" s="77"/>
      <c r="G765" s="77"/>
      <c r="H765" s="176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 spans="1:32" ht="14.4" customHeight="1" x14ac:dyDescent="0.25">
      <c r="A766" s="77"/>
      <c r="B766" s="77"/>
      <c r="C766" s="77"/>
      <c r="D766" s="77"/>
      <c r="E766" s="77"/>
      <c r="F766" s="77"/>
      <c r="G766" s="77"/>
      <c r="H766" s="176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 spans="1:32" ht="14.4" customHeight="1" x14ac:dyDescent="0.25">
      <c r="A767" s="77"/>
      <c r="B767" s="77"/>
      <c r="C767" s="77"/>
      <c r="D767" s="77"/>
      <c r="E767" s="77"/>
      <c r="F767" s="77"/>
      <c r="G767" s="77"/>
      <c r="H767" s="176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 spans="1:32" ht="14.4" customHeight="1" x14ac:dyDescent="0.25">
      <c r="A768" s="77"/>
      <c r="B768" s="77"/>
      <c r="C768" s="77"/>
      <c r="D768" s="77"/>
      <c r="E768" s="77"/>
      <c r="F768" s="77"/>
      <c r="G768" s="77"/>
      <c r="H768" s="176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 spans="1:32" ht="14.4" customHeight="1" x14ac:dyDescent="0.25">
      <c r="A769" s="77"/>
      <c r="B769" s="77"/>
      <c r="C769" s="77"/>
      <c r="D769" s="77"/>
      <c r="E769" s="77"/>
      <c r="F769" s="77"/>
      <c r="G769" s="77"/>
      <c r="H769" s="176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 spans="1:32" ht="14.4" customHeight="1" x14ac:dyDescent="0.25">
      <c r="A770" s="77"/>
      <c r="B770" s="77"/>
      <c r="C770" s="77"/>
      <c r="D770" s="77"/>
      <c r="E770" s="77"/>
      <c r="F770" s="77"/>
      <c r="G770" s="77"/>
      <c r="H770" s="176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 spans="1:32" ht="14.4" customHeight="1" x14ac:dyDescent="0.25">
      <c r="A771" s="77"/>
      <c r="B771" s="77"/>
      <c r="C771" s="77"/>
      <c r="D771" s="77"/>
      <c r="E771" s="77"/>
      <c r="F771" s="77"/>
      <c r="G771" s="77"/>
      <c r="H771" s="176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 spans="1:32" ht="14.4" customHeight="1" x14ac:dyDescent="0.25">
      <c r="A772" s="77"/>
      <c r="B772" s="77"/>
      <c r="C772" s="77"/>
      <c r="D772" s="77"/>
      <c r="E772" s="77"/>
      <c r="F772" s="77"/>
      <c r="G772" s="77"/>
      <c r="H772" s="176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 spans="1:32" ht="14.4" customHeight="1" x14ac:dyDescent="0.25">
      <c r="A773" s="77"/>
      <c r="B773" s="77"/>
      <c r="C773" s="77"/>
      <c r="D773" s="77"/>
      <c r="E773" s="77"/>
      <c r="F773" s="77"/>
      <c r="G773" s="77"/>
      <c r="H773" s="176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 spans="1:32" ht="14.4" customHeight="1" x14ac:dyDescent="0.25">
      <c r="A774" s="77"/>
      <c r="B774" s="77"/>
      <c r="C774" s="77"/>
      <c r="D774" s="77"/>
      <c r="E774" s="77"/>
      <c r="F774" s="77"/>
      <c r="G774" s="77"/>
      <c r="H774" s="176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 spans="1:32" ht="14.4" customHeight="1" x14ac:dyDescent="0.25">
      <c r="A775" s="77"/>
      <c r="B775" s="77"/>
      <c r="C775" s="77"/>
      <c r="D775" s="77"/>
      <c r="E775" s="77"/>
      <c r="F775" s="77"/>
      <c r="G775" s="77"/>
      <c r="H775" s="176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 spans="1:32" ht="14.4" customHeight="1" x14ac:dyDescent="0.25">
      <c r="A776" s="77"/>
      <c r="B776" s="77"/>
      <c r="C776" s="77"/>
      <c r="D776" s="77"/>
      <c r="E776" s="77"/>
      <c r="F776" s="77"/>
      <c r="G776" s="77"/>
      <c r="H776" s="176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 spans="1:32" ht="14.4" customHeight="1" x14ac:dyDescent="0.25">
      <c r="A777" s="77"/>
      <c r="B777" s="77"/>
      <c r="C777" s="77"/>
      <c r="D777" s="77"/>
      <c r="E777" s="77"/>
      <c r="F777" s="77"/>
      <c r="G777" s="77"/>
      <c r="H777" s="176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 spans="1:32" ht="14.4" customHeight="1" x14ac:dyDescent="0.25">
      <c r="A778" s="77"/>
      <c r="B778" s="77"/>
      <c r="C778" s="77"/>
      <c r="D778" s="77"/>
      <c r="E778" s="77"/>
      <c r="F778" s="77"/>
      <c r="G778" s="77"/>
      <c r="H778" s="176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 spans="1:32" ht="14.4" customHeight="1" x14ac:dyDescent="0.25">
      <c r="A779" s="77"/>
      <c r="B779" s="77"/>
      <c r="C779" s="77"/>
      <c r="D779" s="77"/>
      <c r="E779" s="77"/>
      <c r="F779" s="77"/>
      <c r="G779" s="77"/>
      <c r="H779" s="176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 spans="1:32" ht="14.4" customHeight="1" x14ac:dyDescent="0.25">
      <c r="A780" s="77"/>
      <c r="B780" s="77"/>
      <c r="C780" s="77"/>
      <c r="D780" s="77"/>
      <c r="E780" s="77"/>
      <c r="F780" s="77"/>
      <c r="G780" s="77"/>
      <c r="H780" s="176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 spans="1:32" ht="14.4" customHeight="1" x14ac:dyDescent="0.25">
      <c r="A781" s="77"/>
      <c r="B781" s="77"/>
      <c r="C781" s="77"/>
      <c r="D781" s="77"/>
      <c r="E781" s="77"/>
      <c r="F781" s="77"/>
      <c r="G781" s="77"/>
      <c r="H781" s="176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 spans="1:32" ht="14.4" customHeight="1" x14ac:dyDescent="0.25">
      <c r="A782" s="77"/>
      <c r="B782" s="77"/>
      <c r="C782" s="77"/>
      <c r="D782" s="77"/>
      <c r="E782" s="77"/>
      <c r="F782" s="77"/>
      <c r="G782" s="77"/>
      <c r="H782" s="176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 spans="1:32" ht="14.4" customHeight="1" x14ac:dyDescent="0.25">
      <c r="A783" s="77"/>
      <c r="B783" s="77"/>
      <c r="C783" s="77"/>
      <c r="D783" s="77"/>
      <c r="E783" s="77"/>
      <c r="F783" s="77"/>
      <c r="G783" s="77"/>
      <c r="H783" s="176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 spans="1:32" ht="14.4" customHeight="1" x14ac:dyDescent="0.25">
      <c r="A784" s="77"/>
      <c r="B784" s="77"/>
      <c r="C784" s="77"/>
      <c r="D784" s="77"/>
      <c r="E784" s="77"/>
      <c r="F784" s="77"/>
      <c r="G784" s="77"/>
      <c r="H784" s="176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 spans="1:32" ht="14.4" customHeight="1" x14ac:dyDescent="0.25">
      <c r="A785" s="77"/>
      <c r="B785" s="77"/>
      <c r="C785" s="77"/>
      <c r="D785" s="77"/>
      <c r="E785" s="77"/>
      <c r="F785" s="77"/>
      <c r="G785" s="77"/>
      <c r="H785" s="176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 spans="1:32" ht="14.4" customHeight="1" x14ac:dyDescent="0.25">
      <c r="A786" s="77"/>
      <c r="B786" s="77"/>
      <c r="C786" s="77"/>
      <c r="D786" s="77"/>
      <c r="E786" s="77"/>
      <c r="F786" s="77"/>
      <c r="G786" s="77"/>
      <c r="H786" s="176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 spans="1:32" ht="14.4" customHeight="1" x14ac:dyDescent="0.25">
      <c r="A787" s="77"/>
      <c r="B787" s="77"/>
      <c r="C787" s="77"/>
      <c r="D787" s="77"/>
      <c r="E787" s="77"/>
      <c r="F787" s="77"/>
      <c r="G787" s="77"/>
      <c r="H787" s="176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 spans="1:32" ht="14.4" customHeight="1" x14ac:dyDescent="0.25">
      <c r="A788" s="77"/>
      <c r="B788" s="77"/>
      <c r="C788" s="77"/>
      <c r="D788" s="77"/>
      <c r="E788" s="77"/>
      <c r="F788" s="77"/>
      <c r="G788" s="77"/>
      <c r="H788" s="176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 spans="1:32" ht="14.4" customHeight="1" x14ac:dyDescent="0.25">
      <c r="A789" s="77"/>
      <c r="B789" s="77"/>
      <c r="C789" s="77"/>
      <c r="D789" s="77"/>
      <c r="E789" s="77"/>
      <c r="F789" s="77"/>
      <c r="G789" s="77"/>
      <c r="H789" s="176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 spans="1:32" ht="14.4" customHeight="1" x14ac:dyDescent="0.25">
      <c r="A790" s="77"/>
      <c r="B790" s="77"/>
      <c r="C790" s="77"/>
      <c r="D790" s="77"/>
      <c r="E790" s="77"/>
      <c r="F790" s="77"/>
      <c r="G790" s="77"/>
      <c r="H790" s="176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 spans="1:32" ht="14.4" customHeight="1" x14ac:dyDescent="0.25">
      <c r="A791" s="77"/>
      <c r="B791" s="77"/>
      <c r="C791" s="77"/>
      <c r="D791" s="77"/>
      <c r="E791" s="77"/>
      <c r="F791" s="77"/>
      <c r="G791" s="77"/>
      <c r="H791" s="176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 spans="1:32" ht="14.4" customHeight="1" x14ac:dyDescent="0.25">
      <c r="A792" s="77"/>
      <c r="B792" s="77"/>
      <c r="C792" s="77"/>
      <c r="D792" s="77"/>
      <c r="E792" s="77"/>
      <c r="F792" s="77"/>
      <c r="G792" s="77"/>
      <c r="H792" s="176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 spans="1:32" ht="14.4" customHeight="1" x14ac:dyDescent="0.25">
      <c r="A793" s="77"/>
      <c r="B793" s="77"/>
      <c r="C793" s="77"/>
      <c r="D793" s="77"/>
      <c r="E793" s="77"/>
      <c r="F793" s="77"/>
      <c r="G793" s="77"/>
      <c r="H793" s="176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 spans="1:32" ht="14.4" customHeight="1" x14ac:dyDescent="0.25">
      <c r="A794" s="77"/>
      <c r="B794" s="77"/>
      <c r="C794" s="77"/>
      <c r="D794" s="77"/>
      <c r="E794" s="77"/>
      <c r="F794" s="77"/>
      <c r="G794" s="77"/>
      <c r="H794" s="176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 spans="1:32" ht="14.4" customHeight="1" x14ac:dyDescent="0.25">
      <c r="A795" s="77"/>
      <c r="B795" s="77"/>
      <c r="C795" s="77"/>
      <c r="D795" s="77"/>
      <c r="E795" s="77"/>
      <c r="F795" s="77"/>
      <c r="G795" s="77"/>
      <c r="H795" s="176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 spans="1:32" ht="14.4" customHeight="1" x14ac:dyDescent="0.25">
      <c r="A796" s="77"/>
      <c r="B796" s="77"/>
      <c r="C796" s="77"/>
      <c r="D796" s="77"/>
      <c r="E796" s="77"/>
      <c r="F796" s="77"/>
      <c r="G796" s="77"/>
      <c r="H796" s="176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 spans="1:32" ht="14.4" customHeight="1" x14ac:dyDescent="0.25">
      <c r="A797" s="77"/>
      <c r="B797" s="77"/>
      <c r="C797" s="77"/>
      <c r="D797" s="77"/>
      <c r="E797" s="77"/>
      <c r="F797" s="77"/>
      <c r="G797" s="77"/>
      <c r="H797" s="176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 spans="1:32" ht="14.4" customHeight="1" x14ac:dyDescent="0.25">
      <c r="A798" s="77"/>
      <c r="B798" s="77"/>
      <c r="C798" s="77"/>
      <c r="D798" s="77"/>
      <c r="E798" s="77"/>
      <c r="F798" s="77"/>
      <c r="G798" s="77"/>
      <c r="H798" s="176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 spans="1:32" ht="14.4" customHeight="1" x14ac:dyDescent="0.25">
      <c r="A799" s="77"/>
      <c r="B799" s="77"/>
      <c r="C799" s="77"/>
      <c r="D799" s="77"/>
      <c r="E799" s="77"/>
      <c r="F799" s="77"/>
      <c r="G799" s="77"/>
      <c r="H799" s="176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 spans="1:32" ht="14.4" customHeight="1" x14ac:dyDescent="0.25">
      <c r="A800" s="77"/>
      <c r="B800" s="77"/>
      <c r="C800" s="77"/>
      <c r="D800" s="77"/>
      <c r="E800" s="77"/>
      <c r="F800" s="77"/>
      <c r="G800" s="77"/>
      <c r="H800" s="176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 spans="1:32" ht="14.4" customHeight="1" x14ac:dyDescent="0.25">
      <c r="A801" s="77"/>
      <c r="B801" s="77"/>
      <c r="C801" s="77"/>
      <c r="D801" s="77"/>
      <c r="E801" s="77"/>
      <c r="F801" s="77"/>
      <c r="G801" s="77"/>
      <c r="H801" s="176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 spans="1:32" ht="14.4" customHeight="1" x14ac:dyDescent="0.25">
      <c r="A802" s="77"/>
      <c r="B802" s="77"/>
      <c r="C802" s="77"/>
      <c r="D802" s="77"/>
      <c r="E802" s="77"/>
      <c r="F802" s="77"/>
      <c r="G802" s="77"/>
      <c r="H802" s="176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 spans="1:32" ht="14.4" customHeight="1" x14ac:dyDescent="0.25">
      <c r="A803" s="77"/>
      <c r="B803" s="77"/>
      <c r="C803" s="77"/>
      <c r="D803" s="77"/>
      <c r="E803" s="77"/>
      <c r="F803" s="77"/>
      <c r="G803" s="77"/>
      <c r="H803" s="176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 spans="1:32" ht="14.4" customHeight="1" x14ac:dyDescent="0.25">
      <c r="A804" s="77"/>
      <c r="B804" s="77"/>
      <c r="C804" s="77"/>
      <c r="D804" s="77"/>
      <c r="E804" s="77"/>
      <c r="F804" s="77"/>
      <c r="G804" s="77"/>
      <c r="H804" s="176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 spans="1:32" ht="14.4" customHeight="1" x14ac:dyDescent="0.25">
      <c r="A805" s="77"/>
      <c r="B805" s="77"/>
      <c r="C805" s="77"/>
      <c r="D805" s="77"/>
      <c r="E805" s="77"/>
      <c r="F805" s="77"/>
      <c r="G805" s="77"/>
      <c r="H805" s="176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 spans="1:32" ht="14.4" customHeight="1" x14ac:dyDescent="0.25">
      <c r="A806" s="77"/>
      <c r="B806" s="77"/>
      <c r="C806" s="77"/>
      <c r="D806" s="77"/>
      <c r="E806" s="77"/>
      <c r="F806" s="77"/>
      <c r="G806" s="77"/>
      <c r="H806" s="176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 spans="1:32" ht="14.4" customHeight="1" x14ac:dyDescent="0.25">
      <c r="A807" s="77"/>
      <c r="B807" s="77"/>
      <c r="C807" s="77"/>
      <c r="D807" s="77"/>
      <c r="E807" s="77"/>
      <c r="F807" s="77"/>
      <c r="G807" s="77"/>
      <c r="H807" s="176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 spans="1:32" ht="14.4" customHeight="1" x14ac:dyDescent="0.25">
      <c r="A808" s="77"/>
      <c r="B808" s="77"/>
      <c r="C808" s="77"/>
      <c r="D808" s="77"/>
      <c r="E808" s="77"/>
      <c r="F808" s="77"/>
      <c r="G808" s="77"/>
      <c r="H808" s="176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 spans="1:32" ht="14.4" customHeight="1" x14ac:dyDescent="0.25">
      <c r="A809" s="77"/>
      <c r="B809" s="77"/>
      <c r="C809" s="77"/>
      <c r="D809" s="77"/>
      <c r="E809" s="77"/>
      <c r="F809" s="77"/>
      <c r="G809" s="77"/>
      <c r="H809" s="176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 spans="1:32" ht="14.4" customHeight="1" x14ac:dyDescent="0.25">
      <c r="A810" s="77"/>
      <c r="B810" s="77"/>
      <c r="C810" s="77"/>
      <c r="D810" s="77"/>
      <c r="E810" s="77"/>
      <c r="F810" s="77"/>
      <c r="G810" s="77"/>
      <c r="H810" s="176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 spans="1:32" ht="14.4" customHeight="1" x14ac:dyDescent="0.25">
      <c r="A811" s="77"/>
      <c r="B811" s="77"/>
      <c r="C811" s="77"/>
      <c r="D811" s="77"/>
      <c r="E811" s="77"/>
      <c r="F811" s="77"/>
      <c r="G811" s="77"/>
      <c r="H811" s="176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 spans="1:32" ht="14.4" customHeight="1" x14ac:dyDescent="0.25">
      <c r="A812" s="77"/>
      <c r="B812" s="77"/>
      <c r="C812" s="77"/>
      <c r="D812" s="77"/>
      <c r="E812" s="77"/>
      <c r="F812" s="77"/>
      <c r="G812" s="77"/>
      <c r="H812" s="176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 spans="1:32" ht="14.4" customHeight="1" x14ac:dyDescent="0.25">
      <c r="A813" s="77"/>
      <c r="B813" s="77"/>
      <c r="C813" s="77"/>
      <c r="D813" s="77"/>
      <c r="E813" s="77"/>
      <c r="F813" s="77"/>
      <c r="G813" s="77"/>
      <c r="H813" s="176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 spans="1:32" ht="14.4" customHeight="1" x14ac:dyDescent="0.25">
      <c r="A814" s="77"/>
      <c r="B814" s="77"/>
      <c r="C814" s="77"/>
      <c r="D814" s="77"/>
      <c r="E814" s="77"/>
      <c r="F814" s="77"/>
      <c r="G814" s="77"/>
      <c r="H814" s="176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 spans="1:32" ht="14.4" customHeight="1" x14ac:dyDescent="0.25">
      <c r="A815" s="77"/>
      <c r="B815" s="77"/>
      <c r="C815" s="77"/>
      <c r="D815" s="77"/>
      <c r="E815" s="77"/>
      <c r="F815" s="77"/>
      <c r="G815" s="77"/>
      <c r="H815" s="176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 spans="1:32" ht="14.4" customHeight="1" x14ac:dyDescent="0.25">
      <c r="A816" s="77"/>
      <c r="B816" s="77"/>
      <c r="C816" s="77"/>
      <c r="D816" s="77"/>
      <c r="E816" s="77"/>
      <c r="F816" s="77"/>
      <c r="G816" s="77"/>
      <c r="H816" s="176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 spans="1:32" ht="14.4" customHeight="1" x14ac:dyDescent="0.25">
      <c r="A817" s="77"/>
      <c r="B817" s="77"/>
      <c r="C817" s="77"/>
      <c r="D817" s="77"/>
      <c r="E817" s="77"/>
      <c r="F817" s="77"/>
      <c r="G817" s="77"/>
      <c r="H817" s="176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 spans="1:32" ht="14.4" customHeight="1" x14ac:dyDescent="0.25">
      <c r="A818" s="77"/>
      <c r="B818" s="77"/>
      <c r="C818" s="77"/>
      <c r="D818" s="77"/>
      <c r="E818" s="77"/>
      <c r="F818" s="77"/>
      <c r="G818" s="77"/>
      <c r="H818" s="176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 spans="1:32" ht="14.4" customHeight="1" x14ac:dyDescent="0.25">
      <c r="A819" s="77"/>
      <c r="B819" s="77"/>
      <c r="C819" s="77"/>
      <c r="D819" s="77"/>
      <c r="E819" s="77"/>
      <c r="F819" s="77"/>
      <c r="G819" s="77"/>
      <c r="H819" s="176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  <row r="820" spans="1:32" ht="14.4" customHeight="1" x14ac:dyDescent="0.25">
      <c r="A820" s="77"/>
      <c r="B820" s="77"/>
      <c r="C820" s="77"/>
      <c r="D820" s="77"/>
      <c r="E820" s="77"/>
      <c r="F820" s="77"/>
      <c r="G820" s="77"/>
      <c r="H820" s="176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</row>
    <row r="821" spans="1:32" ht="14.4" customHeight="1" x14ac:dyDescent="0.25">
      <c r="A821" s="77"/>
      <c r="B821" s="77"/>
      <c r="C821" s="77"/>
      <c r="D821" s="77"/>
      <c r="E821" s="77"/>
      <c r="F821" s="77"/>
      <c r="G821" s="77"/>
      <c r="H821" s="176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</row>
    <row r="822" spans="1:32" ht="14.4" customHeight="1" x14ac:dyDescent="0.25">
      <c r="A822" s="77"/>
      <c r="B822" s="77"/>
      <c r="C822" s="77"/>
      <c r="D822" s="77"/>
      <c r="E822" s="77"/>
      <c r="F822" s="77"/>
      <c r="G822" s="77"/>
      <c r="H822" s="176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</row>
    <row r="823" spans="1:32" ht="14.4" customHeight="1" x14ac:dyDescent="0.25">
      <c r="A823" s="77"/>
      <c r="B823" s="77"/>
      <c r="C823" s="77"/>
      <c r="D823" s="77"/>
      <c r="E823" s="77"/>
      <c r="F823" s="77"/>
      <c r="G823" s="77"/>
      <c r="H823" s="176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</row>
    <row r="824" spans="1:32" ht="14.4" customHeight="1" x14ac:dyDescent="0.25">
      <c r="A824" s="77"/>
      <c r="B824" s="77"/>
      <c r="C824" s="77"/>
      <c r="D824" s="77"/>
      <c r="E824" s="77"/>
      <c r="F824" s="77"/>
      <c r="G824" s="77"/>
      <c r="H824" s="176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</row>
    <row r="825" spans="1:32" ht="14.4" customHeight="1" x14ac:dyDescent="0.25">
      <c r="A825" s="77"/>
      <c r="B825" s="77"/>
      <c r="C825" s="77"/>
      <c r="D825" s="77"/>
      <c r="E825" s="77"/>
      <c r="F825" s="77"/>
      <c r="G825" s="77"/>
      <c r="H825" s="176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</row>
    <row r="826" spans="1:32" ht="14.4" customHeight="1" x14ac:dyDescent="0.25">
      <c r="A826" s="77"/>
      <c r="B826" s="77"/>
      <c r="C826" s="77"/>
      <c r="D826" s="77"/>
      <c r="E826" s="77"/>
      <c r="F826" s="77"/>
      <c r="G826" s="77"/>
      <c r="H826" s="176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</row>
    <row r="827" spans="1:32" ht="14.4" customHeight="1" x14ac:dyDescent="0.25">
      <c r="A827" s="77"/>
      <c r="B827" s="77"/>
      <c r="C827" s="77"/>
      <c r="D827" s="77"/>
      <c r="E827" s="77"/>
      <c r="F827" s="77"/>
      <c r="G827" s="77"/>
      <c r="H827" s="176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</row>
    <row r="828" spans="1:32" ht="14.4" customHeight="1" x14ac:dyDescent="0.25">
      <c r="A828" s="77"/>
      <c r="B828" s="77"/>
      <c r="C828" s="77"/>
      <c r="D828" s="77"/>
      <c r="E828" s="77"/>
      <c r="F828" s="77"/>
      <c r="G828" s="77"/>
      <c r="H828" s="176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</row>
    <row r="829" spans="1:32" ht="14.4" customHeight="1" x14ac:dyDescent="0.25">
      <c r="A829" s="77"/>
      <c r="B829" s="77"/>
      <c r="C829" s="77"/>
      <c r="D829" s="77"/>
      <c r="E829" s="77"/>
      <c r="F829" s="77"/>
      <c r="G829" s="77"/>
      <c r="H829" s="176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</row>
    <row r="830" spans="1:32" ht="14.4" customHeight="1" x14ac:dyDescent="0.25">
      <c r="A830" s="77"/>
      <c r="B830" s="77"/>
      <c r="C830" s="77"/>
      <c r="D830" s="77"/>
      <c r="E830" s="77"/>
      <c r="F830" s="77"/>
      <c r="G830" s="77"/>
      <c r="H830" s="176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</row>
    <row r="831" spans="1:32" ht="14.4" customHeight="1" x14ac:dyDescent="0.25">
      <c r="A831" s="77"/>
      <c r="B831" s="77"/>
      <c r="C831" s="77"/>
      <c r="D831" s="77"/>
      <c r="E831" s="77"/>
      <c r="F831" s="77"/>
      <c r="G831" s="77"/>
      <c r="H831" s="176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</row>
  </sheetData>
  <mergeCells count="143">
    <mergeCell ref="I25:L25"/>
    <mergeCell ref="I26:L26"/>
    <mergeCell ref="S47:W47"/>
    <mergeCell ref="S48:W48"/>
    <mergeCell ref="S30:W30"/>
    <mergeCell ref="S31:W31"/>
    <mergeCell ref="S32:W32"/>
    <mergeCell ref="S50:W50"/>
    <mergeCell ref="S51:W51"/>
    <mergeCell ref="S27:W27"/>
    <mergeCell ref="S28:W28"/>
    <mergeCell ref="S29:W29"/>
    <mergeCell ref="M26:N26"/>
    <mergeCell ref="S26:W26"/>
    <mergeCell ref="M28:N28"/>
    <mergeCell ref="M46:N46"/>
    <mergeCell ref="S35:W35"/>
    <mergeCell ref="M25:N25"/>
    <mergeCell ref="I29:L29"/>
    <mergeCell ref="M29:N29"/>
    <mergeCell ref="I27:L27"/>
    <mergeCell ref="M27:N27"/>
    <mergeCell ref="I28:L28"/>
    <mergeCell ref="I30:L30"/>
    <mergeCell ref="D51:G51"/>
    <mergeCell ref="D52:G52"/>
    <mergeCell ref="D53:G53"/>
    <mergeCell ref="D54:G54"/>
    <mergeCell ref="D27:G30"/>
    <mergeCell ref="D31:G34"/>
    <mergeCell ref="D35:G40"/>
    <mergeCell ref="D41:G46"/>
    <mergeCell ref="D47:G47"/>
    <mergeCell ref="D50:G50"/>
    <mergeCell ref="S49:W49"/>
    <mergeCell ref="I48:L48"/>
    <mergeCell ref="M48:N48"/>
    <mergeCell ref="S54:W54"/>
    <mergeCell ref="I45:L45"/>
    <mergeCell ref="M45:N45"/>
    <mergeCell ref="B47:B50"/>
    <mergeCell ref="I47:L47"/>
    <mergeCell ref="M47:N47"/>
    <mergeCell ref="B35:B46"/>
    <mergeCell ref="I42:L42"/>
    <mergeCell ref="M42:N42"/>
    <mergeCell ref="I43:L43"/>
    <mergeCell ref="M43:N43"/>
    <mergeCell ref="C35:C46"/>
    <mergeCell ref="S52:W52"/>
    <mergeCell ref="S53:W53"/>
    <mergeCell ref="S43:W43"/>
    <mergeCell ref="S44:W44"/>
    <mergeCell ref="S45:W45"/>
    <mergeCell ref="S46:W46"/>
    <mergeCell ref="S36:W36"/>
    <mergeCell ref="S37:W37"/>
    <mergeCell ref="S38:W38"/>
    <mergeCell ref="I46:L46"/>
    <mergeCell ref="S42:W42"/>
    <mergeCell ref="I34:L34"/>
    <mergeCell ref="M34:N34"/>
    <mergeCell ref="I31:L31"/>
    <mergeCell ref="M31:N31"/>
    <mergeCell ref="I32:L32"/>
    <mergeCell ref="M32:N32"/>
    <mergeCell ref="I44:L44"/>
    <mergeCell ref="M44:N44"/>
    <mergeCell ref="S39:W39"/>
    <mergeCell ref="S40:W40"/>
    <mergeCell ref="S41:W41"/>
    <mergeCell ref="A55:C55"/>
    <mergeCell ref="J55:K55"/>
    <mergeCell ref="L55:M55"/>
    <mergeCell ref="M54:N54"/>
    <mergeCell ref="B23:W23"/>
    <mergeCell ref="I41:L41"/>
    <mergeCell ref="M41:N41"/>
    <mergeCell ref="I39:L39"/>
    <mergeCell ref="M39:N39"/>
    <mergeCell ref="I40:L40"/>
    <mergeCell ref="M40:N40"/>
    <mergeCell ref="I37:L37"/>
    <mergeCell ref="M37:N37"/>
    <mergeCell ref="I38:L38"/>
    <mergeCell ref="M38:N38"/>
    <mergeCell ref="I35:L35"/>
    <mergeCell ref="M35:N35"/>
    <mergeCell ref="I36:L36"/>
    <mergeCell ref="M36:N36"/>
    <mergeCell ref="S33:W33"/>
    <mergeCell ref="S34:W34"/>
    <mergeCell ref="I52:L52"/>
    <mergeCell ref="M52:N52"/>
    <mergeCell ref="C47:C50"/>
    <mergeCell ref="H10:I10"/>
    <mergeCell ref="H11:I11"/>
    <mergeCell ref="H9:I9"/>
    <mergeCell ref="H12:I12"/>
    <mergeCell ref="H14:I14"/>
    <mergeCell ref="C51:C54"/>
    <mergeCell ref="M30:N30"/>
    <mergeCell ref="B27:B34"/>
    <mergeCell ref="C27:C34"/>
    <mergeCell ref="I53:L53"/>
    <mergeCell ref="M53:N53"/>
    <mergeCell ref="B51:B54"/>
    <mergeCell ref="I51:L51"/>
    <mergeCell ref="M51:N51"/>
    <mergeCell ref="I50:L50"/>
    <mergeCell ref="M50:N50"/>
    <mergeCell ref="I49:L49"/>
    <mergeCell ref="M49:N49"/>
    <mergeCell ref="I33:L33"/>
    <mergeCell ref="M33:N33"/>
    <mergeCell ref="C26:G26"/>
    <mergeCell ref="I54:L54"/>
    <mergeCell ref="D48:G48"/>
    <mergeCell ref="D49:G49"/>
    <mergeCell ref="S25:W25"/>
    <mergeCell ref="E14:F14"/>
    <mergeCell ref="B14:C14"/>
    <mergeCell ref="S10:W10"/>
    <mergeCell ref="B3:C3"/>
    <mergeCell ref="A1:W1"/>
    <mergeCell ref="S6:W6"/>
    <mergeCell ref="S5:W5"/>
    <mergeCell ref="B5:C5"/>
    <mergeCell ref="H5:I5"/>
    <mergeCell ref="D3:K3"/>
    <mergeCell ref="E5:F5"/>
    <mergeCell ref="E7:F7"/>
    <mergeCell ref="E9:F9"/>
    <mergeCell ref="E10:F10"/>
    <mergeCell ref="E11:F11"/>
    <mergeCell ref="E12:F12"/>
    <mergeCell ref="S8:W8"/>
    <mergeCell ref="S9:W9"/>
    <mergeCell ref="B24:W24"/>
    <mergeCell ref="H17:I17"/>
    <mergeCell ref="H7:I7"/>
    <mergeCell ref="C25:H25"/>
    <mergeCell ref="B9:C9"/>
  </mergeCells>
  <conditionalFormatting sqref="P26 P27:S54">
    <cfRule type="cellIs" dxfId="17" priority="4" operator="equal">
      <formula>"FAILED"</formula>
    </cfRule>
    <cfRule type="cellIs" dxfId="16" priority="5" operator="equal">
      <formula>"PASSED WITH CONDITION"</formula>
    </cfRule>
    <cfRule type="cellIs" dxfId="15" priority="6" operator="equal">
      <formula>"PASSED"</formula>
    </cfRule>
  </conditionalFormatting>
  <dataValidations count="1">
    <dataValidation type="list" allowBlank="1" showErrorMessage="1" sqref="P26:P54" xr:uid="{ECF392D9-DD7A-4200-9C69-510BCB37EA32}">
      <formula1>"PASSED,PASSED WITH CONDITION,FAILED,N/A"</formula1>
    </dataValidation>
  </dataValidations>
  <pageMargins left="0.7" right="0.7" top="0.75" bottom="0.75" header="0.3" footer="0.3"/>
  <ignoredErrors>
    <ignoredError sqref="H26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0D87-B59F-4B1E-9658-AEF40EE6866A}">
  <sheetPr>
    <tabColor theme="4" tint="0.59999389629810485"/>
  </sheetPr>
  <dimension ref="A1:AB798"/>
  <sheetViews>
    <sheetView topLeftCell="M1" zoomScale="85" zoomScaleNormal="85" workbookViewId="0">
      <selection activeCell="D5" sqref="D5"/>
    </sheetView>
  </sheetViews>
  <sheetFormatPr defaultColWidth="14.44140625" defaultRowHeight="14.4" customHeight="1" x14ac:dyDescent="0.25"/>
  <cols>
    <col min="1" max="1" width="1.44140625" style="78" customWidth="1"/>
    <col min="2" max="2" width="4.33203125" style="78" customWidth="1"/>
    <col min="3" max="3" width="17.6640625" style="78" customWidth="1"/>
    <col min="4" max="4" width="5.33203125" style="78" customWidth="1"/>
    <col min="5" max="5" width="6.109375" style="78" customWidth="1"/>
    <col min="6" max="6" width="9.5546875" style="78" customWidth="1"/>
    <col min="7" max="7" width="5" style="78" customWidth="1"/>
    <col min="8" max="8" width="4" style="174" customWidth="1"/>
    <col min="9" max="9" width="11.88671875" style="78" customWidth="1"/>
    <col min="10" max="10" width="5.33203125" style="78" customWidth="1"/>
    <col min="11" max="11" width="11.88671875" style="78" customWidth="1"/>
    <col min="12" max="12" width="4.33203125" style="78" customWidth="1"/>
    <col min="13" max="13" width="25.33203125" style="78" customWidth="1"/>
    <col min="14" max="14" width="123.44140625" style="78" customWidth="1"/>
    <col min="15" max="15" width="12.44140625" style="78" customWidth="1"/>
    <col min="16" max="16" width="6.44140625" style="78" customWidth="1"/>
    <col min="17" max="17" width="7.33203125" style="78" customWidth="1"/>
    <col min="18" max="18" width="6.44140625" style="78" customWidth="1"/>
    <col min="19" max="19" width="1" style="78" customWidth="1"/>
    <col min="20" max="20" width="120" style="78" hidden="1" customWidth="1"/>
    <col min="21" max="21" width="17.6640625" style="78" hidden="1" customWidth="1"/>
    <col min="22" max="22" width="48.88671875" style="78" hidden="1" customWidth="1"/>
    <col min="23" max="28" width="8.6640625" style="78" customWidth="1"/>
    <col min="29" max="16384" width="14.44140625" style="78"/>
  </cols>
  <sheetData>
    <row r="1" spans="1:28" ht="60" customHeight="1" x14ac:dyDescent="0.25">
      <c r="A1" s="217" t="s">
        <v>200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77"/>
      <c r="U1" s="77"/>
      <c r="V1" s="77"/>
      <c r="W1" s="77"/>
      <c r="X1" s="77"/>
      <c r="Y1" s="77"/>
      <c r="Z1" s="77"/>
      <c r="AA1" s="77"/>
      <c r="AB1" s="77"/>
    </row>
    <row r="2" spans="1:28" ht="14.4" customHeight="1" x14ac:dyDescent="0.25">
      <c r="A2" s="79"/>
      <c r="B2" s="80"/>
      <c r="C2" s="80"/>
      <c r="D2" s="80"/>
      <c r="E2" s="80"/>
      <c r="F2" s="80"/>
      <c r="G2" s="80"/>
      <c r="H2" s="170"/>
      <c r="I2" s="80"/>
      <c r="J2" s="80"/>
      <c r="K2" s="80"/>
      <c r="L2" s="80"/>
      <c r="M2" s="80"/>
      <c r="N2" s="80"/>
      <c r="O2" s="80"/>
      <c r="P2" s="83"/>
      <c r="Q2" s="83"/>
      <c r="R2" s="83"/>
      <c r="S2" s="81"/>
      <c r="T2" s="77"/>
      <c r="U2" s="77"/>
      <c r="V2" s="77"/>
      <c r="W2" s="77"/>
      <c r="X2" s="77"/>
      <c r="Y2" s="77"/>
      <c r="Z2" s="77"/>
      <c r="AA2" s="77"/>
      <c r="AB2" s="77"/>
    </row>
    <row r="3" spans="1:28" ht="14.4" customHeight="1" x14ac:dyDescent="0.3">
      <c r="A3" s="77"/>
      <c r="B3" s="218" t="s">
        <v>3</v>
      </c>
      <c r="C3" s="219"/>
      <c r="D3" s="411" t="s">
        <v>418</v>
      </c>
      <c r="E3" s="276"/>
      <c r="F3" s="276"/>
      <c r="G3" s="276"/>
      <c r="H3" s="276"/>
      <c r="I3" s="276"/>
      <c r="J3" s="276"/>
      <c r="K3" s="276"/>
      <c r="L3" s="85"/>
      <c r="M3" s="91"/>
      <c r="N3" s="91"/>
      <c r="O3" s="86" t="s">
        <v>0</v>
      </c>
      <c r="P3" s="89" t="b">
        <v>0</v>
      </c>
      <c r="Q3" s="90" t="s">
        <v>1</v>
      </c>
      <c r="R3" s="89" t="b">
        <v>0</v>
      </c>
      <c r="S3" s="90" t="s">
        <v>2</v>
      </c>
      <c r="T3" s="77"/>
      <c r="U3" s="77"/>
      <c r="V3" s="77"/>
      <c r="W3" s="77"/>
      <c r="X3" s="77"/>
      <c r="Y3" s="77"/>
      <c r="Z3" s="77"/>
      <c r="AA3" s="77"/>
      <c r="AB3" s="77"/>
    </row>
    <row r="4" spans="1:28" ht="14.4" customHeight="1" x14ac:dyDescent="0.25">
      <c r="A4" s="77"/>
      <c r="B4" s="85"/>
      <c r="C4" s="85"/>
      <c r="D4" s="85"/>
      <c r="E4" s="85"/>
      <c r="F4" s="85"/>
      <c r="G4" s="85"/>
      <c r="H4" s="171"/>
      <c r="I4" s="87"/>
      <c r="J4" s="87"/>
      <c r="K4" s="77"/>
      <c r="L4" s="77"/>
      <c r="M4" s="91"/>
      <c r="N4" s="91"/>
      <c r="O4" s="91"/>
      <c r="T4" s="77"/>
      <c r="U4" s="77"/>
      <c r="V4" s="77"/>
      <c r="W4" s="77"/>
      <c r="X4" s="77"/>
      <c r="Y4" s="77"/>
      <c r="Z4" s="77"/>
      <c r="AA4" s="77"/>
      <c r="AB4" s="77"/>
    </row>
    <row r="5" spans="1:28" ht="14.4" customHeight="1" x14ac:dyDescent="0.25">
      <c r="A5" s="77"/>
      <c r="B5" s="221" t="s">
        <v>6</v>
      </c>
      <c r="C5" s="221"/>
      <c r="D5" s="89" t="b">
        <v>1</v>
      </c>
      <c r="E5" s="278" t="s">
        <v>7</v>
      </c>
      <c r="F5" s="278"/>
      <c r="G5" s="93" t="b">
        <v>1</v>
      </c>
      <c r="H5" s="222" t="s">
        <v>8</v>
      </c>
      <c r="I5" s="222"/>
      <c r="K5" s="77"/>
      <c r="L5" s="77"/>
      <c r="M5" s="91"/>
      <c r="N5" s="86" t="s">
        <v>4</v>
      </c>
      <c r="O5" s="279"/>
      <c r="P5" s="279"/>
      <c r="Q5" s="279"/>
      <c r="R5" s="279"/>
      <c r="S5" s="279"/>
      <c r="T5" s="77"/>
      <c r="U5" s="77"/>
      <c r="V5" s="77"/>
      <c r="W5" s="77"/>
      <c r="X5" s="77"/>
      <c r="Y5" s="77"/>
      <c r="Z5" s="77"/>
      <c r="AA5" s="77"/>
      <c r="AB5" s="77"/>
    </row>
    <row r="6" spans="1:28" ht="14.4" customHeight="1" x14ac:dyDescent="0.25">
      <c r="A6" s="77"/>
      <c r="B6" s="85"/>
      <c r="C6" s="85"/>
      <c r="D6" s="77"/>
      <c r="E6" s="77"/>
      <c r="F6" s="77"/>
      <c r="G6" s="77"/>
      <c r="H6" s="172"/>
      <c r="I6" s="92"/>
      <c r="J6" s="95"/>
      <c r="K6" s="77"/>
      <c r="L6" s="77"/>
      <c r="M6" s="91"/>
      <c r="N6" s="86" t="s">
        <v>5</v>
      </c>
      <c r="O6" s="278"/>
      <c r="P6" s="278"/>
      <c r="Q6" s="278"/>
      <c r="R6" s="278"/>
      <c r="S6" s="278"/>
      <c r="T6" s="77"/>
      <c r="U6" s="77"/>
      <c r="V6" s="77"/>
      <c r="W6" s="77"/>
      <c r="X6" s="77"/>
      <c r="Y6" s="77"/>
      <c r="Z6" s="77"/>
      <c r="AA6" s="77"/>
      <c r="AB6" s="77"/>
    </row>
    <row r="7" spans="1:28" ht="14.4" customHeight="1" x14ac:dyDescent="0.25">
      <c r="A7" s="77"/>
      <c r="B7" s="85" t="s">
        <v>88</v>
      </c>
      <c r="C7" s="85"/>
      <c r="D7" s="89" t="b">
        <v>1</v>
      </c>
      <c r="E7" s="278" t="s">
        <v>89</v>
      </c>
      <c r="F7" s="278"/>
      <c r="G7" s="93" t="b">
        <v>0</v>
      </c>
      <c r="H7" s="278" t="s">
        <v>90</v>
      </c>
      <c r="I7" s="278"/>
      <c r="L7" s="77"/>
      <c r="M7" s="91"/>
      <c r="N7" s="77"/>
      <c r="O7" s="91"/>
      <c r="P7" s="111"/>
      <c r="Q7" s="111"/>
      <c r="R7" s="111"/>
      <c r="S7" s="111"/>
      <c r="T7" s="77"/>
      <c r="U7" s="77"/>
      <c r="V7" s="77"/>
      <c r="W7" s="77"/>
      <c r="X7" s="77"/>
      <c r="Y7" s="77"/>
      <c r="Z7" s="77"/>
      <c r="AA7" s="77"/>
      <c r="AB7" s="77"/>
    </row>
    <row r="8" spans="1:28" ht="14.4" customHeight="1" x14ac:dyDescent="0.25">
      <c r="A8" s="77"/>
      <c r="B8" s="85"/>
      <c r="C8" s="85"/>
      <c r="D8" s="77"/>
      <c r="E8" s="77"/>
      <c r="F8" s="77"/>
      <c r="G8" s="77"/>
      <c r="H8" s="172"/>
      <c r="I8" s="92"/>
      <c r="J8" s="95"/>
      <c r="K8" s="77"/>
      <c r="L8" s="77"/>
      <c r="M8" s="91"/>
      <c r="N8" s="86" t="s">
        <v>9</v>
      </c>
      <c r="O8" s="278"/>
      <c r="P8" s="278"/>
      <c r="Q8" s="278"/>
      <c r="R8" s="278"/>
      <c r="S8" s="278"/>
      <c r="T8" s="77"/>
      <c r="U8" s="77"/>
      <c r="V8" s="77"/>
      <c r="W8" s="77"/>
      <c r="X8" s="77"/>
      <c r="Y8" s="77"/>
      <c r="Z8" s="77"/>
      <c r="AA8" s="77"/>
      <c r="AB8" s="77"/>
    </row>
    <row r="9" spans="1:28" ht="14.4" customHeight="1" x14ac:dyDescent="0.25">
      <c r="A9" s="77"/>
      <c r="B9" s="251" t="s">
        <v>148</v>
      </c>
      <c r="C9" s="251"/>
      <c r="D9" s="89" t="b">
        <v>1</v>
      </c>
      <c r="E9" s="278" t="s">
        <v>149</v>
      </c>
      <c r="F9" s="278"/>
      <c r="G9" s="77"/>
      <c r="H9" s="222"/>
      <c r="I9" s="222"/>
      <c r="J9" s="95"/>
      <c r="K9" s="77"/>
      <c r="L9" s="77"/>
      <c r="M9" s="91"/>
      <c r="N9" s="96" t="str">
        <f>D3</f>
        <v>ATP Group</v>
      </c>
      <c r="O9" s="280"/>
      <c r="P9" s="280"/>
      <c r="Q9" s="280"/>
      <c r="R9" s="280"/>
      <c r="S9" s="280"/>
      <c r="T9" s="77"/>
      <c r="U9" s="77"/>
      <c r="V9" s="77"/>
      <c r="W9" s="77"/>
      <c r="X9" s="77"/>
      <c r="Y9" s="77"/>
      <c r="Z9" s="77"/>
      <c r="AA9" s="77"/>
      <c r="AB9" s="77"/>
    </row>
    <row r="10" spans="1:28" ht="14.4" customHeight="1" x14ac:dyDescent="0.25">
      <c r="A10" s="77"/>
      <c r="B10" s="90"/>
      <c r="C10" s="90"/>
      <c r="D10" s="89" t="b">
        <v>1</v>
      </c>
      <c r="E10" s="278" t="s">
        <v>150</v>
      </c>
      <c r="F10" s="278"/>
      <c r="G10" s="77"/>
      <c r="H10" s="222"/>
      <c r="I10" s="222"/>
      <c r="J10" s="95"/>
      <c r="K10" s="77"/>
      <c r="L10" s="77"/>
      <c r="M10" s="91"/>
      <c r="N10" s="96" t="s">
        <v>12</v>
      </c>
      <c r="O10" s="278"/>
      <c r="P10" s="278"/>
      <c r="Q10" s="278"/>
      <c r="R10" s="278"/>
      <c r="S10" s="278"/>
      <c r="T10" s="77"/>
      <c r="U10" s="77"/>
      <c r="V10" s="77"/>
      <c r="W10" s="77"/>
      <c r="X10" s="77"/>
      <c r="Y10" s="77"/>
      <c r="Z10" s="77"/>
      <c r="AA10" s="77"/>
      <c r="AB10" s="77"/>
    </row>
    <row r="11" spans="1:28" ht="14.4" customHeight="1" x14ac:dyDescent="0.25">
      <c r="A11" s="77"/>
      <c r="B11" s="90"/>
      <c r="C11" s="90"/>
      <c r="D11" s="89" t="b">
        <v>1</v>
      </c>
      <c r="E11" s="278" t="s">
        <v>151</v>
      </c>
      <c r="F11" s="278"/>
      <c r="G11" s="77"/>
      <c r="H11" s="222"/>
      <c r="I11" s="222"/>
      <c r="J11" s="95"/>
      <c r="K11" s="77"/>
      <c r="L11" s="77"/>
      <c r="M11" s="91"/>
      <c r="N11" s="91"/>
      <c r="O11" s="91"/>
      <c r="P11" s="111"/>
      <c r="Q11" s="111"/>
      <c r="R11" s="111"/>
      <c r="S11" s="111"/>
      <c r="T11" s="77"/>
      <c r="U11" s="77"/>
      <c r="V11" s="77"/>
      <c r="W11" s="77"/>
      <c r="X11" s="77"/>
      <c r="Y11" s="77"/>
      <c r="Z11" s="77"/>
      <c r="AA11" s="77"/>
      <c r="AB11" s="77"/>
    </row>
    <row r="12" spans="1:28" ht="14.4" customHeight="1" x14ac:dyDescent="0.25">
      <c r="A12" s="77"/>
      <c r="B12" s="90"/>
      <c r="C12" s="90"/>
      <c r="D12" s="89" t="b">
        <v>1</v>
      </c>
      <c r="E12" s="278" t="s">
        <v>152</v>
      </c>
      <c r="F12" s="278"/>
      <c r="G12" s="77"/>
      <c r="H12" s="222"/>
      <c r="I12" s="222"/>
      <c r="J12" s="95"/>
      <c r="K12" s="77"/>
      <c r="L12" s="77"/>
      <c r="M12" s="91"/>
      <c r="N12" s="91"/>
      <c r="O12" s="91"/>
      <c r="P12" s="111"/>
      <c r="Q12" s="111"/>
      <c r="R12" s="111"/>
      <c r="S12" s="111"/>
      <c r="T12" s="77"/>
      <c r="U12" s="77"/>
      <c r="V12" s="77"/>
      <c r="W12" s="77"/>
      <c r="X12" s="77"/>
      <c r="Y12" s="77"/>
      <c r="Z12" s="77"/>
      <c r="AA12" s="77"/>
      <c r="AB12" s="77"/>
    </row>
    <row r="13" spans="1:28" ht="14.4" customHeight="1" x14ac:dyDescent="0.25">
      <c r="A13" s="77"/>
      <c r="B13" s="85"/>
      <c r="C13" s="85"/>
      <c r="D13" s="77"/>
      <c r="E13" s="77"/>
      <c r="F13" s="77"/>
      <c r="G13" s="77"/>
      <c r="H13" s="172"/>
      <c r="I13" s="92"/>
      <c r="J13" s="95"/>
      <c r="K13" s="77"/>
      <c r="L13" s="77"/>
      <c r="M13" s="91"/>
      <c r="N13" s="91"/>
      <c r="O13" s="91"/>
      <c r="P13" s="111"/>
      <c r="Q13" s="111"/>
      <c r="R13" s="111"/>
      <c r="S13" s="111"/>
      <c r="T13" s="77"/>
      <c r="U13" s="77"/>
      <c r="V13" s="77"/>
      <c r="W13" s="77"/>
      <c r="X13" s="77"/>
      <c r="Y13" s="77"/>
      <c r="Z13" s="77"/>
      <c r="AA13" s="77"/>
      <c r="AB13" s="77"/>
    </row>
    <row r="14" spans="1:28" ht="14.4" customHeight="1" x14ac:dyDescent="0.25">
      <c r="A14" s="77"/>
      <c r="B14" s="251" t="s">
        <v>10</v>
      </c>
      <c r="C14" s="251"/>
      <c r="D14" s="93" t="b">
        <v>1</v>
      </c>
      <c r="E14" s="251" t="s">
        <v>13</v>
      </c>
      <c r="F14" s="251"/>
      <c r="G14" s="90"/>
      <c r="H14" s="251"/>
      <c r="I14" s="251"/>
      <c r="J14" s="77"/>
      <c r="K14" s="77"/>
      <c r="L14" s="77"/>
      <c r="M14" s="91"/>
      <c r="N14" s="91"/>
      <c r="O14" s="91"/>
      <c r="P14" s="80"/>
      <c r="Q14" s="80"/>
      <c r="R14" s="80"/>
      <c r="S14" s="80"/>
      <c r="T14" s="77"/>
      <c r="U14" s="77"/>
      <c r="V14" s="77"/>
      <c r="W14" s="77"/>
      <c r="X14" s="77"/>
      <c r="Y14" s="77"/>
      <c r="Z14" s="77"/>
      <c r="AA14" s="77"/>
      <c r="AB14" s="77"/>
    </row>
    <row r="15" spans="1:28" ht="14.4" customHeight="1" x14ac:dyDescent="0.25">
      <c r="A15" s="77"/>
      <c r="B15" s="77"/>
      <c r="C15" s="77"/>
      <c r="D15" s="95"/>
      <c r="E15" s="95"/>
      <c r="F15" s="95"/>
      <c r="G15" s="95"/>
      <c r="H15" s="173"/>
      <c r="I15" s="90"/>
      <c r="J15" s="77"/>
      <c r="K15" s="77"/>
      <c r="L15" s="77"/>
      <c r="M15" s="91"/>
      <c r="N15" s="91"/>
      <c r="O15" s="91"/>
      <c r="P15" s="80"/>
      <c r="Q15" s="80"/>
      <c r="R15" s="80"/>
      <c r="S15" s="80"/>
      <c r="T15" s="77"/>
      <c r="U15" s="77"/>
      <c r="V15" s="77"/>
      <c r="W15" s="77"/>
      <c r="X15" s="77"/>
      <c r="Y15" s="77"/>
      <c r="Z15" s="77"/>
      <c r="AA15" s="77"/>
      <c r="AB15" s="77"/>
    </row>
    <row r="16" spans="1:28" ht="14.4" customHeight="1" x14ac:dyDescent="0.25">
      <c r="A16" s="77"/>
      <c r="B16" s="77"/>
      <c r="C16" s="77"/>
      <c r="D16" s="77"/>
      <c r="E16" s="93" t="b">
        <v>1</v>
      </c>
      <c r="F16" s="90" t="s">
        <v>14</v>
      </c>
      <c r="G16" s="77"/>
      <c r="J16" s="95"/>
      <c r="K16" s="91"/>
      <c r="L16" s="77"/>
      <c r="M16" s="91"/>
      <c r="N16" s="91"/>
      <c r="O16" s="91"/>
      <c r="P16" s="80"/>
      <c r="Q16" s="80"/>
      <c r="R16" s="80"/>
      <c r="S16" s="80"/>
      <c r="T16" s="77"/>
      <c r="U16" s="77"/>
      <c r="V16" s="77"/>
      <c r="W16" s="77"/>
      <c r="X16" s="77"/>
      <c r="Y16" s="77"/>
      <c r="Z16" s="77"/>
      <c r="AA16" s="77"/>
      <c r="AB16" s="77"/>
    </row>
    <row r="17" spans="1:28" ht="14.4" customHeight="1" x14ac:dyDescent="0.25">
      <c r="A17" s="77"/>
      <c r="B17" s="77"/>
      <c r="C17" s="77"/>
      <c r="D17" s="77"/>
      <c r="E17" s="93" t="b">
        <v>1</v>
      </c>
      <c r="F17" s="91" t="s">
        <v>15</v>
      </c>
      <c r="G17" s="93" t="b">
        <v>1</v>
      </c>
      <c r="H17" s="278" t="s">
        <v>16</v>
      </c>
      <c r="I17" s="278"/>
      <c r="L17" s="77"/>
      <c r="M17" s="91"/>
      <c r="N17" s="91"/>
      <c r="O17" s="91"/>
      <c r="P17" s="80"/>
      <c r="Q17" s="80"/>
      <c r="R17" s="80"/>
      <c r="S17" s="80"/>
      <c r="T17" s="77"/>
      <c r="U17" s="77"/>
      <c r="V17" s="77"/>
      <c r="W17" s="77"/>
      <c r="X17" s="77"/>
      <c r="Y17" s="77"/>
      <c r="Z17" s="77"/>
      <c r="AA17" s="77"/>
      <c r="AB17" s="77"/>
    </row>
    <row r="18" spans="1:28" ht="14.4" customHeight="1" x14ac:dyDescent="0.25">
      <c r="A18" s="77"/>
      <c r="B18" s="77"/>
      <c r="C18" s="77"/>
      <c r="D18" s="77"/>
      <c r="E18" s="77"/>
      <c r="F18" s="77"/>
      <c r="G18" s="77"/>
      <c r="H18" s="175"/>
      <c r="I18" s="91"/>
      <c r="J18" s="95"/>
      <c r="K18" s="77"/>
      <c r="L18" s="77"/>
      <c r="M18" s="91"/>
      <c r="N18" s="91"/>
      <c r="O18" s="91"/>
      <c r="P18" s="77"/>
      <c r="Q18" s="77"/>
      <c r="R18" s="77"/>
      <c r="S18" s="97"/>
      <c r="T18" s="77"/>
      <c r="U18" s="77"/>
      <c r="V18" s="77"/>
      <c r="W18" s="77"/>
      <c r="X18" s="77"/>
      <c r="Y18" s="77"/>
      <c r="Z18" s="77"/>
      <c r="AA18" s="77"/>
      <c r="AB18" s="77"/>
    </row>
    <row r="19" spans="1:28" ht="14.4" customHeight="1" x14ac:dyDescent="0.25">
      <c r="A19" s="77"/>
      <c r="B19" s="77"/>
      <c r="C19" s="77"/>
      <c r="D19" s="93" t="b">
        <v>1</v>
      </c>
      <c r="E19" s="85" t="s">
        <v>22</v>
      </c>
      <c r="F19" s="85"/>
      <c r="G19" s="95"/>
      <c r="J19" s="77"/>
      <c r="K19" s="77"/>
      <c r="L19" s="77"/>
      <c r="M19" s="91"/>
      <c r="N19" s="91"/>
      <c r="O19" s="91"/>
      <c r="P19" s="77"/>
      <c r="Q19" s="77"/>
      <c r="R19" s="77"/>
      <c r="S19" s="97"/>
      <c r="T19" s="77"/>
      <c r="U19" s="77"/>
      <c r="V19" s="77"/>
      <c r="W19" s="77"/>
      <c r="X19" s="77"/>
      <c r="Y19" s="77"/>
      <c r="Z19" s="77"/>
      <c r="AA19" s="77"/>
      <c r="AB19" s="77"/>
    </row>
    <row r="20" spans="1:28" ht="14.4" customHeight="1" x14ac:dyDescent="0.25">
      <c r="A20" s="77"/>
      <c r="B20" s="77"/>
      <c r="C20" s="77"/>
      <c r="D20" s="77"/>
      <c r="E20" s="77"/>
      <c r="F20" s="77"/>
      <c r="G20" s="77"/>
      <c r="H20" s="175"/>
      <c r="I20" s="91"/>
      <c r="J20" s="95"/>
      <c r="K20" s="91"/>
      <c r="L20" s="77"/>
      <c r="M20" s="91"/>
      <c r="N20" s="91"/>
      <c r="O20" s="91"/>
      <c r="P20" s="77"/>
      <c r="Q20" s="77"/>
      <c r="R20" s="77"/>
      <c r="S20" s="97"/>
      <c r="T20" s="77"/>
      <c r="U20" s="77"/>
      <c r="V20" s="77"/>
      <c r="W20" s="77"/>
      <c r="X20" s="77"/>
      <c r="Y20" s="77"/>
      <c r="Z20" s="77"/>
      <c r="AA20" s="77"/>
      <c r="AB20" s="77"/>
    </row>
    <row r="21" spans="1:28" ht="14.4" customHeight="1" x14ac:dyDescent="0.25">
      <c r="A21" s="77"/>
      <c r="B21" s="77"/>
      <c r="C21" s="77"/>
      <c r="D21" s="93" t="b">
        <v>1</v>
      </c>
      <c r="E21" s="85" t="s">
        <v>23</v>
      </c>
      <c r="F21" s="85"/>
      <c r="G21" s="95"/>
      <c r="J21" s="77"/>
      <c r="K21" s="77"/>
      <c r="L21" s="95"/>
      <c r="M21" s="91"/>
      <c r="N21" s="91"/>
      <c r="O21" s="91"/>
      <c r="P21" s="77"/>
      <c r="Q21" s="77"/>
      <c r="R21" s="77"/>
      <c r="S21" s="97"/>
      <c r="T21" s="77"/>
      <c r="U21" s="77"/>
      <c r="V21" s="77"/>
      <c r="W21" s="77"/>
      <c r="X21" s="77"/>
      <c r="Y21" s="77"/>
      <c r="Z21" s="77"/>
      <c r="AA21" s="77"/>
      <c r="AB21" s="77"/>
    </row>
    <row r="22" spans="1:28" ht="14.4" customHeight="1" x14ac:dyDescent="0.25">
      <c r="A22" s="77"/>
      <c r="B22" s="77"/>
      <c r="C22" s="77"/>
      <c r="D22" s="77"/>
      <c r="E22" s="77"/>
      <c r="F22" s="77"/>
      <c r="G22" s="77"/>
      <c r="H22" s="176"/>
      <c r="I22" s="77"/>
      <c r="J22" s="90"/>
      <c r="K22" s="91"/>
      <c r="L22" s="91"/>
      <c r="M22" s="77"/>
      <c r="N22" s="77"/>
      <c r="O22" s="77"/>
      <c r="P22" s="77"/>
      <c r="Q22" s="77"/>
      <c r="R22" s="77"/>
      <c r="S22" s="97"/>
      <c r="T22" s="77"/>
      <c r="U22" s="77"/>
      <c r="V22" s="77"/>
      <c r="W22" s="77"/>
      <c r="X22" s="77"/>
      <c r="Y22" s="77"/>
      <c r="Z22" s="77"/>
      <c r="AA22" s="77"/>
      <c r="AB22" s="77"/>
    </row>
    <row r="23" spans="1:28" ht="14.4" customHeight="1" x14ac:dyDescent="0.25">
      <c r="A23" s="77"/>
      <c r="B23" s="264" t="s">
        <v>25</v>
      </c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77"/>
      <c r="U23" s="77"/>
      <c r="V23" s="77"/>
      <c r="W23" s="77"/>
      <c r="X23" s="77"/>
      <c r="Y23" s="77"/>
      <c r="Z23" s="77"/>
      <c r="AA23" s="77"/>
      <c r="AB23" s="77"/>
    </row>
    <row r="24" spans="1:28" ht="36" customHeight="1" x14ac:dyDescent="0.25">
      <c r="A24" s="77"/>
      <c r="B24" s="265" t="s">
        <v>153</v>
      </c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77"/>
      <c r="U24" s="77"/>
      <c r="V24" s="77"/>
      <c r="W24" s="77"/>
      <c r="X24" s="77"/>
      <c r="Y24" s="77"/>
      <c r="Z24" s="77"/>
      <c r="AA24" s="77"/>
      <c r="AB24" s="77"/>
    </row>
    <row r="25" spans="1:28" ht="42.6" customHeight="1" x14ac:dyDescent="0.3">
      <c r="A25" s="124"/>
      <c r="B25" s="130" t="s">
        <v>27</v>
      </c>
      <c r="C25" s="281"/>
      <c r="D25" s="282"/>
      <c r="E25" s="282"/>
      <c r="F25" s="282"/>
      <c r="G25" s="282"/>
      <c r="H25" s="283"/>
      <c r="I25" s="281" t="s">
        <v>28</v>
      </c>
      <c r="J25" s="282"/>
      <c r="K25" s="282"/>
      <c r="L25" s="283"/>
      <c r="M25" s="138" t="s">
        <v>155</v>
      </c>
      <c r="N25" s="139" t="s">
        <v>201</v>
      </c>
      <c r="O25" s="277" t="s">
        <v>158</v>
      </c>
      <c r="P25" s="277"/>
      <c r="Q25" s="277"/>
      <c r="R25" s="277"/>
      <c r="S25" s="277"/>
      <c r="T25" s="164" t="s">
        <v>99</v>
      </c>
      <c r="U25" s="164" t="s">
        <v>100</v>
      </c>
      <c r="V25" s="164" t="s">
        <v>101</v>
      </c>
      <c r="W25"/>
      <c r="X25" s="131"/>
      <c r="Y25" s="131"/>
      <c r="Z25" s="131"/>
      <c r="AA25" s="131"/>
      <c r="AB25" s="77"/>
    </row>
    <row r="26" spans="1:28" ht="372" x14ac:dyDescent="0.3">
      <c r="A26" s="124"/>
      <c r="B26" s="193">
        <v>0</v>
      </c>
      <c r="C26" s="329" t="s">
        <v>202</v>
      </c>
      <c r="D26" s="326"/>
      <c r="E26" s="326"/>
      <c r="F26" s="326"/>
      <c r="G26" s="326"/>
      <c r="H26" s="327"/>
      <c r="I26" s="325" t="s">
        <v>203</v>
      </c>
      <c r="J26" s="326"/>
      <c r="K26" s="326"/>
      <c r="L26" s="327"/>
      <c r="M26" s="100" t="s">
        <v>37</v>
      </c>
      <c r="N26" s="194" t="s">
        <v>204</v>
      </c>
      <c r="O26" s="328"/>
      <c r="P26" s="328"/>
      <c r="Q26" s="328"/>
      <c r="R26" s="328"/>
      <c r="S26" s="328"/>
      <c r="T26" s="195"/>
      <c r="U26" s="195"/>
      <c r="V26" s="195"/>
      <c r="W26" s="131"/>
      <c r="X26" s="131"/>
      <c r="Y26"/>
      <c r="Z26" s="131"/>
      <c r="AA26" s="131"/>
      <c r="AB26" s="77"/>
    </row>
    <row r="27" spans="1:28" ht="408.6" customHeight="1" x14ac:dyDescent="0.25">
      <c r="A27" s="124"/>
      <c r="B27" s="193">
        <v>1</v>
      </c>
      <c r="C27" s="329" t="s">
        <v>205</v>
      </c>
      <c r="D27" s="326"/>
      <c r="E27" s="326"/>
      <c r="F27" s="326"/>
      <c r="G27" s="326"/>
      <c r="H27" s="327"/>
      <c r="I27" s="325" t="s">
        <v>206</v>
      </c>
      <c r="J27" s="326"/>
      <c r="K27" s="326"/>
      <c r="L27" s="327"/>
      <c r="M27" s="100"/>
      <c r="N27" s="194"/>
      <c r="O27" s="330"/>
      <c r="P27" s="330"/>
      <c r="Q27" s="330"/>
      <c r="R27" s="330"/>
      <c r="S27" s="330"/>
      <c r="T27" s="195"/>
      <c r="U27" s="195"/>
      <c r="V27" s="195"/>
      <c r="W27" s="131"/>
      <c r="X27" s="131"/>
      <c r="Y27" s="131"/>
      <c r="Z27" s="131"/>
      <c r="AA27" s="131"/>
      <c r="AB27" s="77"/>
    </row>
    <row r="28" spans="1:28" ht="408.6" customHeight="1" x14ac:dyDescent="0.25">
      <c r="A28" s="124"/>
      <c r="B28" s="193">
        <v>2</v>
      </c>
      <c r="C28" s="329" t="s">
        <v>207</v>
      </c>
      <c r="D28" s="326"/>
      <c r="E28" s="326"/>
      <c r="F28" s="326"/>
      <c r="G28" s="326"/>
      <c r="H28" s="327"/>
      <c r="I28" s="325" t="s">
        <v>208</v>
      </c>
      <c r="J28" s="326"/>
      <c r="K28" s="326"/>
      <c r="L28" s="327"/>
      <c r="M28" s="100"/>
      <c r="N28" s="194"/>
      <c r="O28" s="330"/>
      <c r="P28" s="330"/>
      <c r="Q28" s="330"/>
      <c r="R28" s="330"/>
      <c r="S28" s="330"/>
      <c r="T28" s="195"/>
      <c r="U28" s="195"/>
      <c r="V28" s="195"/>
      <c r="W28" s="131"/>
      <c r="X28" s="131"/>
      <c r="Y28" s="131"/>
      <c r="Z28" s="131"/>
      <c r="AA28" s="131"/>
      <c r="AB28" s="77"/>
    </row>
    <row r="29" spans="1:28" ht="408.6" customHeight="1" x14ac:dyDescent="0.25">
      <c r="A29" s="124"/>
      <c r="B29" s="193">
        <v>3</v>
      </c>
      <c r="C29" s="329" t="s">
        <v>202</v>
      </c>
      <c r="D29" s="326"/>
      <c r="E29" s="326"/>
      <c r="F29" s="326"/>
      <c r="G29" s="326"/>
      <c r="H29" s="327"/>
      <c r="I29" s="325" t="s">
        <v>203</v>
      </c>
      <c r="J29" s="331"/>
      <c r="K29" s="331"/>
      <c r="L29" s="332"/>
      <c r="M29" s="100"/>
      <c r="N29" s="194"/>
      <c r="O29" s="330"/>
      <c r="P29" s="330"/>
      <c r="Q29" s="330"/>
      <c r="R29" s="330"/>
      <c r="S29" s="330"/>
      <c r="T29" s="195"/>
      <c r="U29" s="195"/>
      <c r="V29" s="195"/>
      <c r="W29" s="131"/>
      <c r="X29" s="131"/>
      <c r="Y29" s="131"/>
      <c r="Z29" s="131"/>
      <c r="AA29" s="131"/>
      <c r="AB29" s="77"/>
    </row>
    <row r="30" spans="1:28" ht="14.4" customHeight="1" x14ac:dyDescent="0.25">
      <c r="A30" s="77"/>
      <c r="B30" s="77"/>
      <c r="C30" s="77"/>
      <c r="D30" s="77"/>
      <c r="E30" s="77"/>
      <c r="F30" s="77"/>
      <c r="G30" s="77"/>
      <c r="H30" s="176"/>
      <c r="I30" s="77"/>
      <c r="J30" s="90"/>
      <c r="K30" s="91"/>
      <c r="L30" s="91"/>
      <c r="M30" s="77"/>
      <c r="N30" s="77"/>
      <c r="O30" s="77"/>
      <c r="P30" s="95"/>
      <c r="Q30" s="95"/>
      <c r="R30" s="95"/>
      <c r="S30" s="77"/>
      <c r="T30" s="77"/>
      <c r="U30" s="77"/>
      <c r="V30" s="77"/>
      <c r="W30" s="77"/>
      <c r="X30" s="77"/>
      <c r="Y30" s="77"/>
      <c r="Z30" s="77"/>
      <c r="AA30" s="77"/>
      <c r="AB30" s="77"/>
    </row>
    <row r="31" spans="1:28" ht="14.4" customHeight="1" x14ac:dyDescent="0.25">
      <c r="A31" s="77"/>
      <c r="B31" s="77"/>
      <c r="C31" s="77"/>
      <c r="D31" s="77"/>
      <c r="E31" s="77"/>
      <c r="F31" s="77"/>
      <c r="G31" s="77"/>
      <c r="H31" s="176"/>
      <c r="I31" s="77"/>
      <c r="J31" s="90"/>
      <c r="K31" s="91"/>
      <c r="L31" s="91"/>
      <c r="M31" s="77"/>
      <c r="N31" s="77"/>
      <c r="O31" s="77"/>
      <c r="P31" s="95"/>
      <c r="Q31" s="95"/>
      <c r="R31" s="95"/>
      <c r="S31" s="77"/>
      <c r="T31" s="77"/>
      <c r="U31" s="77"/>
      <c r="V31" s="77"/>
      <c r="W31" s="77"/>
      <c r="X31" s="77"/>
      <c r="Y31" s="77"/>
      <c r="Z31" s="77"/>
      <c r="AA31" s="77"/>
      <c r="AB31" s="77"/>
    </row>
    <row r="32" spans="1:28" ht="14.4" customHeight="1" x14ac:dyDescent="0.25">
      <c r="A32" s="77"/>
      <c r="B32" s="77"/>
      <c r="C32" s="77"/>
      <c r="D32" s="77"/>
      <c r="E32" s="77"/>
      <c r="F32" s="77"/>
      <c r="G32" s="77"/>
      <c r="H32" s="176"/>
      <c r="I32" s="77"/>
      <c r="J32" s="90"/>
      <c r="K32" s="91"/>
      <c r="L32" s="91"/>
      <c r="M32" s="77"/>
      <c r="N32" s="77"/>
      <c r="O32" s="77"/>
      <c r="P32" s="95"/>
      <c r="Q32" s="95"/>
      <c r="R32" s="95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 spans="1:28" ht="14.4" customHeight="1" x14ac:dyDescent="0.25">
      <c r="A33" s="77"/>
      <c r="B33" s="77"/>
      <c r="C33" s="77"/>
      <c r="D33" s="77"/>
      <c r="E33" s="77"/>
      <c r="F33" s="77"/>
      <c r="G33" s="77"/>
      <c r="H33" s="176"/>
      <c r="I33" s="77"/>
      <c r="J33" s="90"/>
      <c r="K33" s="91"/>
      <c r="L33" s="91"/>
      <c r="M33" s="77"/>
      <c r="N33" s="77"/>
      <c r="O33" s="77"/>
      <c r="P33" s="95"/>
      <c r="Q33" s="95"/>
      <c r="R33" s="95"/>
      <c r="S33" s="77"/>
      <c r="T33" s="77"/>
      <c r="U33" s="77"/>
      <c r="V33" s="77"/>
      <c r="W33" s="77"/>
      <c r="X33" s="77"/>
      <c r="Y33" s="77"/>
      <c r="Z33" s="77"/>
      <c r="AA33" s="77"/>
      <c r="AB33" s="77"/>
    </row>
    <row r="34" spans="1:28" ht="14.4" customHeight="1" x14ac:dyDescent="0.25">
      <c r="A34" s="77"/>
      <c r="B34" s="77"/>
      <c r="C34" s="77"/>
      <c r="D34" s="77"/>
      <c r="E34" s="77"/>
      <c r="F34" s="77"/>
      <c r="G34" s="77"/>
      <c r="H34" s="176"/>
      <c r="I34" s="77"/>
      <c r="J34" s="90"/>
      <c r="K34" s="91"/>
      <c r="L34" s="91"/>
      <c r="M34" s="77"/>
      <c r="N34" s="77"/>
      <c r="O34" s="77"/>
      <c r="P34" s="95"/>
      <c r="Q34" s="95"/>
      <c r="R34" s="95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 spans="1:28" ht="14.4" customHeight="1" x14ac:dyDescent="0.25">
      <c r="A35" s="77"/>
      <c r="B35" s="77"/>
      <c r="C35" s="77"/>
      <c r="D35" s="77"/>
      <c r="E35" s="77"/>
      <c r="F35" s="77"/>
      <c r="G35" s="77"/>
      <c r="H35" s="176"/>
      <c r="I35" s="77"/>
      <c r="J35" s="90"/>
      <c r="K35" s="91"/>
      <c r="L35" s="91"/>
      <c r="M35" s="77"/>
      <c r="N35" s="77"/>
      <c r="O35" s="77"/>
      <c r="P35" s="95"/>
      <c r="Q35" s="95"/>
      <c r="R35" s="95"/>
      <c r="S35" s="77"/>
      <c r="T35" s="77"/>
      <c r="U35" s="77"/>
      <c r="V35" s="77"/>
      <c r="W35" s="77"/>
      <c r="X35" s="77"/>
      <c r="Y35" s="77"/>
      <c r="Z35" s="77"/>
      <c r="AA35" s="77"/>
      <c r="AB35" s="77"/>
    </row>
    <row r="36" spans="1:28" ht="14.4" customHeight="1" x14ac:dyDescent="0.25">
      <c r="A36" s="77"/>
      <c r="B36" s="77"/>
      <c r="C36" s="77"/>
      <c r="D36" s="77"/>
      <c r="E36" s="77"/>
      <c r="F36" s="77"/>
      <c r="G36" s="77"/>
      <c r="H36" s="176"/>
      <c r="I36" s="77"/>
      <c r="J36" s="90"/>
      <c r="K36" s="91"/>
      <c r="L36" s="91"/>
      <c r="M36" s="77"/>
      <c r="N36" s="77"/>
      <c r="O36" s="77"/>
      <c r="P36" s="95"/>
      <c r="Q36" s="95"/>
      <c r="R36" s="95"/>
      <c r="S36" s="77"/>
      <c r="T36" s="77"/>
      <c r="U36" s="77"/>
      <c r="V36" s="77"/>
      <c r="W36" s="77"/>
      <c r="X36" s="77"/>
      <c r="Y36" s="77"/>
      <c r="Z36" s="77"/>
      <c r="AA36" s="77"/>
      <c r="AB36" s="77"/>
    </row>
    <row r="37" spans="1:28" ht="14.4" customHeight="1" x14ac:dyDescent="0.25">
      <c r="A37" s="77"/>
      <c r="B37" s="77"/>
      <c r="C37" s="77"/>
      <c r="D37" s="77"/>
      <c r="E37" s="77"/>
      <c r="F37" s="77"/>
      <c r="G37" s="77"/>
      <c r="H37" s="176"/>
      <c r="I37" s="77"/>
      <c r="J37" s="90"/>
      <c r="K37" s="91"/>
      <c r="L37" s="91"/>
      <c r="M37" s="77"/>
      <c r="N37" s="77"/>
      <c r="O37" s="77"/>
      <c r="P37" s="95"/>
      <c r="Q37" s="95"/>
      <c r="R37" s="95"/>
      <c r="S37" s="77"/>
      <c r="T37" s="77"/>
      <c r="U37" s="77"/>
      <c r="V37" s="77"/>
      <c r="W37" s="77"/>
      <c r="X37" s="77"/>
      <c r="Y37" s="77"/>
      <c r="Z37" s="77"/>
      <c r="AA37" s="77"/>
      <c r="AB37" s="77"/>
    </row>
    <row r="38" spans="1:28" ht="14.4" customHeight="1" x14ac:dyDescent="0.25">
      <c r="A38" s="77"/>
      <c r="B38" s="77"/>
      <c r="C38" s="77"/>
      <c r="D38" s="77"/>
      <c r="E38" s="77"/>
      <c r="F38" s="77"/>
      <c r="G38" s="77"/>
      <c r="H38" s="176"/>
      <c r="I38" s="77"/>
      <c r="J38" s="90"/>
      <c r="K38" s="91"/>
      <c r="L38" s="91"/>
      <c r="M38" s="77"/>
      <c r="N38" s="77"/>
      <c r="O38" s="77"/>
      <c r="P38" s="95"/>
      <c r="Q38" s="95"/>
      <c r="R38" s="95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 spans="1:28" ht="14.4" customHeight="1" x14ac:dyDescent="0.25">
      <c r="A39" s="77"/>
      <c r="B39" s="77"/>
      <c r="C39" s="77"/>
      <c r="D39" s="77"/>
      <c r="E39" s="77"/>
      <c r="F39" s="77"/>
      <c r="G39" s="77"/>
      <c r="H39" s="176"/>
      <c r="I39" s="77"/>
      <c r="J39" s="90"/>
      <c r="K39" s="91"/>
      <c r="L39" s="91"/>
      <c r="M39" s="77"/>
      <c r="N39" s="77"/>
      <c r="O39" s="77"/>
      <c r="P39" s="95"/>
      <c r="Q39" s="95"/>
      <c r="R39" s="95"/>
      <c r="S39" s="77"/>
      <c r="T39" s="77"/>
      <c r="U39" s="77"/>
      <c r="V39" s="77"/>
      <c r="W39" s="77"/>
      <c r="X39" s="77"/>
      <c r="Y39" s="77"/>
      <c r="Z39" s="77"/>
      <c r="AA39" s="77"/>
      <c r="AB39" s="77"/>
    </row>
    <row r="40" spans="1:28" ht="14.4" customHeight="1" x14ac:dyDescent="0.25">
      <c r="A40" s="77"/>
      <c r="B40" s="77"/>
      <c r="C40" s="77"/>
      <c r="D40" s="77"/>
      <c r="E40" s="77"/>
      <c r="F40" s="77"/>
      <c r="G40" s="77"/>
      <c r="H40" s="176"/>
      <c r="I40" s="77"/>
      <c r="J40" s="90"/>
      <c r="K40" s="91"/>
      <c r="L40" s="91"/>
      <c r="M40" s="77"/>
      <c r="N40" s="77"/>
      <c r="O40" s="77"/>
      <c r="P40" s="95"/>
      <c r="Q40" s="95"/>
      <c r="R40" s="95"/>
      <c r="S40" s="77"/>
      <c r="T40" s="77"/>
      <c r="U40" s="77"/>
      <c r="V40" s="77"/>
      <c r="W40" s="77"/>
      <c r="X40" s="77"/>
      <c r="Y40" s="77"/>
      <c r="Z40" s="77"/>
      <c r="AA40" s="77"/>
      <c r="AB40" s="77"/>
    </row>
    <row r="41" spans="1:28" ht="14.4" customHeight="1" x14ac:dyDescent="0.25">
      <c r="A41" s="77"/>
      <c r="B41" s="77"/>
      <c r="C41" s="77"/>
      <c r="D41" s="77"/>
      <c r="E41" s="77"/>
      <c r="F41" s="77"/>
      <c r="G41" s="77"/>
      <c r="H41" s="176"/>
      <c r="I41" s="77"/>
      <c r="J41" s="90"/>
      <c r="K41" s="91"/>
      <c r="L41" s="91"/>
      <c r="M41" s="77"/>
      <c r="N41" s="77"/>
      <c r="O41" s="77"/>
      <c r="P41" s="95"/>
      <c r="Q41" s="95"/>
      <c r="R41" s="95"/>
      <c r="S41" s="77"/>
      <c r="T41" s="77"/>
      <c r="U41" s="77"/>
      <c r="V41" s="77"/>
      <c r="W41" s="77"/>
      <c r="X41" s="77"/>
      <c r="Y41" s="77"/>
      <c r="Z41" s="77"/>
      <c r="AA41" s="77"/>
      <c r="AB41" s="77"/>
    </row>
    <row r="42" spans="1:28" ht="14.4" customHeight="1" x14ac:dyDescent="0.25">
      <c r="A42" s="77"/>
      <c r="B42" s="77"/>
      <c r="C42" s="77"/>
      <c r="D42" s="77"/>
      <c r="E42" s="77"/>
      <c r="F42" s="77"/>
      <c r="G42" s="77"/>
      <c r="H42" s="176"/>
      <c r="I42" s="77"/>
      <c r="J42" s="90"/>
      <c r="K42" s="91"/>
      <c r="L42" s="91"/>
      <c r="M42" s="77"/>
      <c r="N42" s="77"/>
      <c r="O42" s="77"/>
      <c r="P42" s="95"/>
      <c r="Q42" s="95"/>
      <c r="R42" s="95"/>
      <c r="S42" s="77"/>
      <c r="T42" s="77"/>
      <c r="U42" s="77"/>
      <c r="V42" s="77"/>
      <c r="W42" s="77"/>
      <c r="X42" s="77"/>
      <c r="Y42" s="77"/>
      <c r="Z42" s="77"/>
      <c r="AA42" s="77"/>
      <c r="AB42" s="77"/>
    </row>
    <row r="43" spans="1:28" ht="14.4" customHeight="1" x14ac:dyDescent="0.25">
      <c r="A43" s="77"/>
      <c r="B43" s="77"/>
      <c r="C43" s="77"/>
      <c r="D43" s="77"/>
      <c r="E43" s="77"/>
      <c r="F43" s="77"/>
      <c r="G43" s="77"/>
      <c r="H43" s="176"/>
      <c r="I43" s="77"/>
      <c r="J43" s="90"/>
      <c r="K43" s="91"/>
      <c r="L43" s="91"/>
      <c r="M43" s="77"/>
      <c r="N43" s="77"/>
      <c r="O43" s="77"/>
      <c r="P43" s="95"/>
      <c r="Q43" s="95"/>
      <c r="R43" s="95"/>
      <c r="S43" s="77"/>
      <c r="T43" s="77"/>
      <c r="U43" s="77"/>
      <c r="V43" s="77"/>
      <c r="W43" s="77"/>
      <c r="X43" s="77"/>
      <c r="Y43" s="77"/>
      <c r="Z43" s="77"/>
      <c r="AA43" s="77"/>
      <c r="AB43" s="77"/>
    </row>
    <row r="44" spans="1:28" ht="14.4" customHeight="1" x14ac:dyDescent="0.25">
      <c r="A44" s="77"/>
      <c r="B44" s="77"/>
      <c r="C44" s="77"/>
      <c r="D44" s="77"/>
      <c r="E44" s="77"/>
      <c r="F44" s="77"/>
      <c r="G44" s="77"/>
      <c r="H44" s="176"/>
      <c r="I44" s="77"/>
      <c r="J44" s="90"/>
      <c r="K44" s="91"/>
      <c r="L44" s="91"/>
      <c r="M44" s="77"/>
      <c r="N44" s="77"/>
      <c r="O44" s="77"/>
      <c r="P44" s="95"/>
      <c r="Q44" s="95"/>
      <c r="R44" s="95"/>
      <c r="S44" s="77"/>
      <c r="T44" s="77"/>
      <c r="U44" s="77"/>
      <c r="V44" s="77"/>
      <c r="W44" s="77"/>
      <c r="X44" s="77"/>
      <c r="Y44" s="77"/>
      <c r="Z44" s="77"/>
      <c r="AA44" s="77"/>
      <c r="AB44" s="77"/>
    </row>
    <row r="45" spans="1:28" ht="14.4" customHeight="1" x14ac:dyDescent="0.25">
      <c r="A45" s="77"/>
      <c r="B45" s="77"/>
      <c r="C45" s="77"/>
      <c r="D45" s="77"/>
      <c r="E45" s="77"/>
      <c r="F45" s="77"/>
      <c r="G45" s="77"/>
      <c r="H45" s="176"/>
      <c r="I45" s="77"/>
      <c r="J45" s="90"/>
      <c r="K45" s="91"/>
      <c r="L45" s="91"/>
      <c r="M45" s="77"/>
      <c r="N45" s="77"/>
      <c r="O45" s="77"/>
      <c r="P45" s="95"/>
      <c r="Q45" s="95"/>
      <c r="R45" s="95"/>
      <c r="S45" s="77"/>
      <c r="T45" s="77"/>
      <c r="U45" s="77"/>
      <c r="V45" s="77"/>
      <c r="W45" s="77"/>
      <c r="X45" s="77"/>
      <c r="Y45" s="77"/>
      <c r="Z45" s="77"/>
      <c r="AA45" s="77"/>
      <c r="AB45" s="77"/>
    </row>
    <row r="46" spans="1:28" ht="14.4" customHeight="1" x14ac:dyDescent="0.25">
      <c r="A46" s="77"/>
      <c r="B46" s="77"/>
      <c r="C46" s="77"/>
      <c r="D46" s="77"/>
      <c r="E46" s="77"/>
      <c r="F46" s="77"/>
      <c r="G46" s="77"/>
      <c r="H46" s="176"/>
      <c r="I46" s="77"/>
      <c r="J46" s="90"/>
      <c r="K46" s="91"/>
      <c r="L46" s="91"/>
      <c r="M46" s="77"/>
      <c r="N46" s="77"/>
      <c r="O46" s="77"/>
      <c r="P46" s="95"/>
      <c r="Q46" s="95"/>
      <c r="R46" s="95"/>
      <c r="S46" s="77"/>
      <c r="T46" s="77"/>
      <c r="U46" s="77"/>
      <c r="V46" s="77"/>
      <c r="W46" s="77"/>
      <c r="X46" s="77"/>
      <c r="Y46" s="77"/>
      <c r="Z46" s="77"/>
      <c r="AA46" s="77"/>
      <c r="AB46" s="77"/>
    </row>
    <row r="47" spans="1:28" ht="14.4" customHeight="1" x14ac:dyDescent="0.25">
      <c r="A47" s="77"/>
      <c r="B47" s="77"/>
      <c r="C47" s="77"/>
      <c r="D47" s="77"/>
      <c r="E47" s="77"/>
      <c r="F47" s="77"/>
      <c r="G47" s="77"/>
      <c r="H47" s="176"/>
      <c r="I47" s="77"/>
      <c r="J47" s="90"/>
      <c r="K47" s="91"/>
      <c r="L47" s="91"/>
      <c r="M47" s="77"/>
      <c r="N47" s="77"/>
      <c r="O47" s="77"/>
      <c r="P47" s="95"/>
      <c r="Q47" s="95"/>
      <c r="R47" s="95"/>
      <c r="S47" s="77"/>
      <c r="T47" s="77"/>
      <c r="U47" s="77"/>
      <c r="V47" s="77"/>
      <c r="W47" s="77"/>
      <c r="X47" s="77"/>
      <c r="Y47" s="77"/>
      <c r="Z47" s="77"/>
      <c r="AA47" s="77"/>
      <c r="AB47" s="77"/>
    </row>
    <row r="48" spans="1:28" ht="14.4" customHeight="1" x14ac:dyDescent="0.25">
      <c r="A48" s="77"/>
      <c r="B48" s="77"/>
      <c r="C48" s="77"/>
      <c r="D48" s="77"/>
      <c r="E48" s="77"/>
      <c r="F48" s="77"/>
      <c r="G48" s="77"/>
      <c r="H48" s="176"/>
      <c r="I48" s="77"/>
      <c r="J48" s="90"/>
      <c r="K48" s="91"/>
      <c r="L48" s="91"/>
      <c r="M48" s="77"/>
      <c r="N48" s="77"/>
      <c r="O48" s="77"/>
      <c r="P48" s="95"/>
      <c r="Q48" s="95"/>
      <c r="R48" s="95"/>
      <c r="S48" s="77"/>
      <c r="T48" s="77"/>
      <c r="U48" s="77"/>
      <c r="V48" s="77"/>
      <c r="W48" s="77"/>
      <c r="X48" s="77"/>
      <c r="Y48" s="77"/>
      <c r="Z48" s="77"/>
      <c r="AA48" s="77"/>
      <c r="AB48" s="77"/>
    </row>
    <row r="49" spans="1:28" ht="14.4" customHeight="1" x14ac:dyDescent="0.25">
      <c r="A49" s="77"/>
      <c r="B49" s="77"/>
      <c r="C49" s="77"/>
      <c r="D49" s="77"/>
      <c r="E49" s="77"/>
      <c r="F49" s="77"/>
      <c r="G49" s="77"/>
      <c r="H49" s="176"/>
      <c r="I49" s="77"/>
      <c r="J49" s="90"/>
      <c r="K49" s="91"/>
      <c r="L49" s="91"/>
      <c r="M49" s="77"/>
      <c r="N49" s="77"/>
      <c r="O49" s="77"/>
      <c r="P49" s="95"/>
      <c r="Q49" s="95"/>
      <c r="R49" s="95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 spans="1:28" ht="14.4" customHeight="1" x14ac:dyDescent="0.25">
      <c r="A50" s="77"/>
      <c r="B50" s="77"/>
      <c r="C50" s="77"/>
      <c r="D50" s="77"/>
      <c r="E50" s="77"/>
      <c r="F50" s="77"/>
      <c r="G50" s="77"/>
      <c r="H50" s="176"/>
      <c r="I50" s="77"/>
      <c r="J50" s="90"/>
      <c r="K50" s="91"/>
      <c r="L50" s="91"/>
      <c r="M50" s="77"/>
      <c r="N50" s="77"/>
      <c r="O50" s="77"/>
      <c r="P50" s="95"/>
      <c r="Q50" s="95"/>
      <c r="R50" s="95"/>
      <c r="S50" s="77"/>
      <c r="T50" s="77"/>
      <c r="U50" s="77"/>
      <c r="V50" s="77"/>
      <c r="W50" s="77"/>
      <c r="X50" s="77"/>
      <c r="Y50" s="77"/>
      <c r="Z50" s="77"/>
      <c r="AA50" s="77"/>
      <c r="AB50" s="77"/>
    </row>
    <row r="51" spans="1:28" ht="14.4" customHeight="1" x14ac:dyDescent="0.25">
      <c r="A51" s="77"/>
      <c r="B51" s="77"/>
      <c r="C51" s="77"/>
      <c r="D51" s="77"/>
      <c r="E51" s="77"/>
      <c r="F51" s="77"/>
      <c r="G51" s="77"/>
      <c r="H51" s="176"/>
      <c r="I51" s="77"/>
      <c r="J51" s="90"/>
      <c r="K51" s="91"/>
      <c r="L51" s="91"/>
      <c r="M51" s="77"/>
      <c r="N51" s="77"/>
      <c r="O51" s="77"/>
      <c r="P51" s="95"/>
      <c r="Q51" s="95"/>
      <c r="R51" s="95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 spans="1:28" ht="14.4" customHeight="1" x14ac:dyDescent="0.25">
      <c r="A52" s="77"/>
      <c r="B52" s="77"/>
      <c r="C52" s="77"/>
      <c r="D52" s="77"/>
      <c r="E52" s="77"/>
      <c r="F52" s="77"/>
      <c r="G52" s="77"/>
      <c r="H52" s="176"/>
      <c r="I52" s="77"/>
      <c r="J52" s="90"/>
      <c r="K52" s="91"/>
      <c r="L52" s="91"/>
      <c r="M52" s="77"/>
      <c r="N52" s="77"/>
      <c r="O52" s="77"/>
      <c r="P52" s="95"/>
      <c r="Q52" s="95"/>
      <c r="R52" s="95"/>
      <c r="S52" s="77"/>
      <c r="T52" s="77"/>
      <c r="U52" s="77"/>
      <c r="V52" s="77"/>
      <c r="W52" s="77"/>
      <c r="X52" s="77"/>
      <c r="Y52" s="77"/>
      <c r="Z52" s="77"/>
      <c r="AA52" s="77"/>
      <c r="AB52" s="77"/>
    </row>
    <row r="53" spans="1:28" ht="14.4" customHeight="1" x14ac:dyDescent="0.25">
      <c r="A53" s="77"/>
      <c r="B53" s="77"/>
      <c r="C53" s="77"/>
      <c r="D53" s="77"/>
      <c r="E53" s="77"/>
      <c r="F53" s="77"/>
      <c r="G53" s="77"/>
      <c r="H53" s="176"/>
      <c r="I53" s="77"/>
      <c r="J53" s="90"/>
      <c r="K53" s="91"/>
      <c r="L53" s="91"/>
      <c r="M53" s="77"/>
      <c r="N53" s="77"/>
      <c r="O53" s="77"/>
      <c r="P53" s="95"/>
      <c r="Q53" s="95"/>
      <c r="R53" s="95"/>
      <c r="S53" s="77"/>
      <c r="T53" s="77"/>
      <c r="U53" s="77"/>
      <c r="V53" s="77"/>
      <c r="W53" s="77"/>
      <c r="X53" s="77"/>
      <c r="Y53" s="77"/>
      <c r="Z53" s="77"/>
      <c r="AA53" s="77"/>
      <c r="AB53" s="77"/>
    </row>
    <row r="54" spans="1:28" ht="14.4" customHeight="1" x14ac:dyDescent="0.25">
      <c r="A54" s="77"/>
      <c r="B54" s="77"/>
      <c r="C54" s="77"/>
      <c r="D54" s="77"/>
      <c r="E54" s="77"/>
      <c r="F54" s="77"/>
      <c r="G54" s="77"/>
      <c r="H54" s="176"/>
      <c r="I54" s="77"/>
      <c r="J54" s="90"/>
      <c r="K54" s="91"/>
      <c r="L54" s="91"/>
      <c r="M54" s="77"/>
      <c r="N54" s="77"/>
      <c r="O54" s="77"/>
      <c r="P54" s="95"/>
      <c r="Q54" s="95"/>
      <c r="R54" s="95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 spans="1:28" ht="14.4" customHeight="1" x14ac:dyDescent="0.25">
      <c r="A55" s="77"/>
      <c r="B55" s="77"/>
      <c r="C55" s="77"/>
      <c r="D55" s="77"/>
      <c r="E55" s="77"/>
      <c r="F55" s="77"/>
      <c r="G55" s="77"/>
      <c r="H55" s="176"/>
      <c r="I55" s="77"/>
      <c r="J55" s="90"/>
      <c r="K55" s="91"/>
      <c r="L55" s="91"/>
      <c r="M55" s="77"/>
      <c r="N55" s="77"/>
      <c r="O55" s="77"/>
      <c r="P55" s="95"/>
      <c r="Q55" s="95"/>
      <c r="R55" s="95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 spans="1:28" ht="14.4" customHeight="1" x14ac:dyDescent="0.25">
      <c r="A56" s="77"/>
      <c r="B56" s="77"/>
      <c r="C56" s="77"/>
      <c r="D56" s="77"/>
      <c r="E56" s="77"/>
      <c r="F56" s="77"/>
      <c r="G56" s="77"/>
      <c r="H56" s="176"/>
      <c r="I56" s="77"/>
      <c r="J56" s="90"/>
      <c r="K56" s="91"/>
      <c r="L56" s="91"/>
      <c r="M56" s="77"/>
      <c r="N56" s="77"/>
      <c r="O56" s="77"/>
      <c r="P56" s="95"/>
      <c r="Q56" s="95"/>
      <c r="R56" s="95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 spans="1:28" ht="14.4" customHeight="1" x14ac:dyDescent="0.25">
      <c r="A57" s="77"/>
      <c r="B57" s="77"/>
      <c r="C57" s="77"/>
      <c r="D57" s="77"/>
      <c r="E57" s="77"/>
      <c r="F57" s="77"/>
      <c r="G57" s="77"/>
      <c r="H57" s="176"/>
      <c r="I57" s="77"/>
      <c r="J57" s="90"/>
      <c r="K57" s="91"/>
      <c r="L57" s="91"/>
      <c r="M57" s="77"/>
      <c r="N57" s="77"/>
      <c r="O57" s="77"/>
      <c r="P57" s="95"/>
      <c r="Q57" s="95"/>
      <c r="R57" s="95"/>
      <c r="S57" s="77"/>
      <c r="T57" s="77"/>
      <c r="U57" s="77"/>
      <c r="V57" s="77"/>
      <c r="W57" s="77"/>
      <c r="X57" s="77"/>
      <c r="Y57" s="77"/>
      <c r="Z57" s="77"/>
      <c r="AA57" s="77"/>
      <c r="AB57" s="77"/>
    </row>
    <row r="58" spans="1:28" ht="14.4" customHeight="1" x14ac:dyDescent="0.25">
      <c r="A58" s="77"/>
      <c r="B58" s="77"/>
      <c r="C58" s="77"/>
      <c r="D58" s="77"/>
      <c r="E58" s="77"/>
      <c r="F58" s="77"/>
      <c r="G58" s="77"/>
      <c r="H58" s="176"/>
      <c r="I58" s="77"/>
      <c r="J58" s="90"/>
      <c r="K58" s="91"/>
      <c r="L58" s="91"/>
      <c r="M58" s="77"/>
      <c r="N58" s="77"/>
      <c r="O58" s="77"/>
      <c r="P58" s="95"/>
      <c r="Q58" s="95"/>
      <c r="R58" s="95"/>
      <c r="S58" s="77"/>
      <c r="T58" s="77"/>
      <c r="U58" s="77"/>
      <c r="V58" s="77"/>
      <c r="W58" s="77"/>
      <c r="X58" s="77"/>
      <c r="Y58" s="77"/>
      <c r="Z58" s="77"/>
      <c r="AA58" s="77"/>
      <c r="AB58" s="77"/>
    </row>
    <row r="59" spans="1:28" ht="14.4" customHeight="1" x14ac:dyDescent="0.25">
      <c r="A59" s="77"/>
      <c r="B59" s="77"/>
      <c r="C59" s="77"/>
      <c r="D59" s="77"/>
      <c r="E59" s="77"/>
      <c r="F59" s="77"/>
      <c r="G59" s="77"/>
      <c r="H59" s="176"/>
      <c r="I59" s="77"/>
      <c r="J59" s="90"/>
      <c r="K59" s="91"/>
      <c r="L59" s="91"/>
      <c r="M59" s="77"/>
      <c r="N59" s="77"/>
      <c r="O59" s="77"/>
      <c r="P59" s="95"/>
      <c r="Q59" s="95"/>
      <c r="R59" s="95"/>
      <c r="S59" s="77"/>
      <c r="T59" s="77"/>
      <c r="U59" s="77"/>
      <c r="V59" s="77"/>
      <c r="W59" s="77"/>
      <c r="X59" s="77"/>
      <c r="Y59" s="77"/>
      <c r="Z59" s="77"/>
      <c r="AA59" s="77"/>
      <c r="AB59" s="77"/>
    </row>
    <row r="60" spans="1:28" ht="14.4" customHeight="1" x14ac:dyDescent="0.25">
      <c r="A60" s="77"/>
      <c r="B60" s="77"/>
      <c r="C60" s="77"/>
      <c r="D60" s="77"/>
      <c r="E60" s="77"/>
      <c r="F60" s="77"/>
      <c r="G60" s="77"/>
      <c r="H60" s="176"/>
      <c r="I60" s="77"/>
      <c r="J60" s="90"/>
      <c r="K60" s="91"/>
      <c r="L60" s="91"/>
      <c r="M60" s="77"/>
      <c r="N60" s="77"/>
      <c r="O60" s="77"/>
      <c r="P60" s="95"/>
      <c r="Q60" s="95"/>
      <c r="R60" s="95"/>
      <c r="S60" s="77"/>
      <c r="T60" s="77"/>
      <c r="U60" s="77"/>
      <c r="V60" s="77"/>
      <c r="W60" s="77"/>
      <c r="X60" s="77"/>
      <c r="Y60" s="77"/>
      <c r="Z60" s="77"/>
      <c r="AA60" s="77"/>
      <c r="AB60" s="77"/>
    </row>
    <row r="61" spans="1:28" ht="14.4" customHeight="1" x14ac:dyDescent="0.25">
      <c r="A61" s="77"/>
      <c r="B61" s="77"/>
      <c r="C61" s="77"/>
      <c r="D61" s="77"/>
      <c r="E61" s="77"/>
      <c r="F61" s="77"/>
      <c r="G61" s="77"/>
      <c r="H61" s="176"/>
      <c r="I61" s="77"/>
      <c r="J61" s="90"/>
      <c r="K61" s="91"/>
      <c r="L61" s="91"/>
      <c r="M61" s="77"/>
      <c r="N61" s="77"/>
      <c r="O61" s="77"/>
      <c r="P61" s="95"/>
      <c r="Q61" s="95"/>
      <c r="R61" s="95"/>
      <c r="S61" s="77"/>
      <c r="T61" s="77"/>
      <c r="U61" s="77"/>
      <c r="V61" s="77"/>
      <c r="W61" s="77"/>
      <c r="X61" s="77"/>
      <c r="Y61" s="77"/>
      <c r="Z61" s="77"/>
      <c r="AA61" s="77"/>
      <c r="AB61" s="77"/>
    </row>
    <row r="62" spans="1:28" ht="14.4" customHeight="1" x14ac:dyDescent="0.25">
      <c r="A62" s="77"/>
      <c r="B62" s="77"/>
      <c r="C62" s="77"/>
      <c r="D62" s="77"/>
      <c r="E62" s="77"/>
      <c r="F62" s="77"/>
      <c r="G62" s="77"/>
      <c r="H62" s="176"/>
      <c r="I62" s="77"/>
      <c r="J62" s="90"/>
      <c r="K62" s="91"/>
      <c r="L62" s="91"/>
      <c r="M62" s="77"/>
      <c r="N62" s="77"/>
      <c r="O62" s="77"/>
      <c r="P62" s="95"/>
      <c r="Q62" s="95"/>
      <c r="R62" s="95"/>
      <c r="S62" s="77"/>
      <c r="T62" s="77"/>
      <c r="U62" s="77"/>
      <c r="V62" s="77"/>
      <c r="W62" s="77"/>
      <c r="X62" s="77"/>
      <c r="Y62" s="77"/>
      <c r="Z62" s="77"/>
      <c r="AA62" s="77"/>
      <c r="AB62" s="77"/>
    </row>
    <row r="63" spans="1:28" ht="14.4" customHeight="1" x14ac:dyDescent="0.25">
      <c r="A63" s="77"/>
      <c r="B63" s="77"/>
      <c r="C63" s="77"/>
      <c r="D63" s="77"/>
      <c r="E63" s="77"/>
      <c r="F63" s="77"/>
      <c r="G63" s="77"/>
      <c r="H63" s="176"/>
      <c r="I63" s="77"/>
      <c r="J63" s="90"/>
      <c r="K63" s="91"/>
      <c r="L63" s="91"/>
      <c r="M63" s="77"/>
      <c r="N63" s="77"/>
      <c r="O63" s="77"/>
      <c r="P63" s="95"/>
      <c r="Q63" s="95"/>
      <c r="R63" s="95"/>
      <c r="S63" s="77"/>
      <c r="T63" s="77"/>
      <c r="U63" s="77"/>
      <c r="V63" s="77"/>
      <c r="W63" s="77"/>
      <c r="X63" s="77"/>
      <c r="Y63" s="77"/>
      <c r="Z63" s="77"/>
      <c r="AA63" s="77"/>
      <c r="AB63" s="77"/>
    </row>
    <row r="64" spans="1:28" ht="14.4" customHeight="1" x14ac:dyDescent="0.25">
      <c r="A64" s="77"/>
      <c r="B64" s="77"/>
      <c r="C64" s="77"/>
      <c r="D64" s="77"/>
      <c r="E64" s="77"/>
      <c r="F64" s="77"/>
      <c r="G64" s="77"/>
      <c r="H64" s="176"/>
      <c r="I64" s="77"/>
      <c r="J64" s="90"/>
      <c r="K64" s="91"/>
      <c r="L64" s="91"/>
      <c r="M64" s="77"/>
      <c r="N64" s="77"/>
      <c r="O64" s="77"/>
      <c r="P64" s="95"/>
      <c r="Q64" s="95"/>
      <c r="R64" s="95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 spans="1:28" ht="14.4" customHeight="1" x14ac:dyDescent="0.25">
      <c r="A65" s="77"/>
      <c r="B65" s="77"/>
      <c r="C65" s="77"/>
      <c r="D65" s="77"/>
      <c r="E65" s="77"/>
      <c r="F65" s="77"/>
      <c r="G65" s="77"/>
      <c r="H65" s="176"/>
      <c r="I65" s="77"/>
      <c r="J65" s="90"/>
      <c r="K65" s="91"/>
      <c r="L65" s="91"/>
      <c r="M65" s="77"/>
      <c r="N65" s="77"/>
      <c r="O65" s="77"/>
      <c r="P65" s="95"/>
      <c r="Q65" s="95"/>
      <c r="R65" s="95"/>
      <c r="S65" s="77"/>
      <c r="T65" s="77"/>
      <c r="U65" s="77"/>
      <c r="V65" s="77"/>
      <c r="W65" s="77"/>
      <c r="X65" s="77"/>
      <c r="Y65" s="77"/>
      <c r="Z65" s="77"/>
      <c r="AA65" s="77"/>
      <c r="AB65" s="77"/>
    </row>
    <row r="66" spans="1:28" ht="14.4" customHeight="1" x14ac:dyDescent="0.25">
      <c r="A66" s="77"/>
      <c r="B66" s="77"/>
      <c r="C66" s="77"/>
      <c r="D66" s="77"/>
      <c r="E66" s="77"/>
      <c r="F66" s="77"/>
      <c r="G66" s="77"/>
      <c r="H66" s="176"/>
      <c r="I66" s="77"/>
      <c r="J66" s="90"/>
      <c r="K66" s="91"/>
      <c r="L66" s="91"/>
      <c r="M66" s="77"/>
      <c r="N66" s="77"/>
      <c r="O66" s="77"/>
      <c r="P66" s="95"/>
      <c r="Q66" s="95"/>
      <c r="R66" s="95"/>
      <c r="S66" s="77"/>
      <c r="T66" s="77"/>
      <c r="U66" s="77"/>
      <c r="V66" s="77"/>
      <c r="W66" s="77"/>
      <c r="X66" s="77"/>
      <c r="Y66" s="77"/>
      <c r="Z66" s="77"/>
      <c r="AA66" s="77"/>
      <c r="AB66" s="77"/>
    </row>
    <row r="67" spans="1:28" ht="14.4" customHeight="1" x14ac:dyDescent="0.25">
      <c r="A67" s="77"/>
      <c r="B67" s="77"/>
      <c r="C67" s="77"/>
      <c r="D67" s="77"/>
      <c r="E67" s="77"/>
      <c r="F67" s="77"/>
      <c r="G67" s="77"/>
      <c r="H67" s="176"/>
      <c r="I67" s="77"/>
      <c r="J67" s="90"/>
      <c r="K67" s="91"/>
      <c r="L67" s="91"/>
      <c r="M67" s="77"/>
      <c r="N67" s="77"/>
      <c r="O67" s="77"/>
      <c r="P67" s="95"/>
      <c r="Q67" s="95"/>
      <c r="R67" s="95"/>
      <c r="S67" s="77"/>
      <c r="T67" s="77"/>
      <c r="U67" s="77"/>
      <c r="V67" s="77"/>
      <c r="W67" s="77"/>
      <c r="X67" s="77"/>
      <c r="Y67" s="77"/>
      <c r="Z67" s="77"/>
      <c r="AA67" s="77"/>
      <c r="AB67" s="77"/>
    </row>
    <row r="68" spans="1:28" ht="14.4" customHeight="1" x14ac:dyDescent="0.25">
      <c r="A68" s="77"/>
      <c r="B68" s="77"/>
      <c r="C68" s="77"/>
      <c r="D68" s="77"/>
      <c r="E68" s="77"/>
      <c r="F68" s="77"/>
      <c r="G68" s="77"/>
      <c r="H68" s="176"/>
      <c r="I68" s="77"/>
      <c r="J68" s="90"/>
      <c r="K68" s="91"/>
      <c r="L68" s="91"/>
      <c r="M68" s="77"/>
      <c r="N68" s="77"/>
      <c r="O68" s="77"/>
      <c r="P68" s="95"/>
      <c r="Q68" s="95"/>
      <c r="R68" s="95"/>
      <c r="S68" s="77"/>
      <c r="T68" s="77"/>
      <c r="U68" s="77"/>
      <c r="V68" s="77"/>
      <c r="W68" s="77"/>
      <c r="X68" s="77"/>
      <c r="Y68" s="77"/>
      <c r="Z68" s="77"/>
      <c r="AA68" s="77"/>
      <c r="AB68" s="77"/>
    </row>
    <row r="69" spans="1:28" ht="14.4" customHeight="1" x14ac:dyDescent="0.25">
      <c r="A69" s="77"/>
      <c r="B69" s="77"/>
      <c r="C69" s="77"/>
      <c r="D69" s="77"/>
      <c r="E69" s="77"/>
      <c r="F69" s="77"/>
      <c r="G69" s="77"/>
      <c r="H69" s="176"/>
      <c r="I69" s="77"/>
      <c r="J69" s="90"/>
      <c r="K69" s="91"/>
      <c r="L69" s="91"/>
      <c r="M69" s="77"/>
      <c r="N69" s="77"/>
      <c r="O69" s="77"/>
      <c r="P69" s="95"/>
      <c r="Q69" s="95"/>
      <c r="R69" s="95"/>
      <c r="S69" s="77"/>
      <c r="T69" s="77"/>
      <c r="U69" s="77"/>
      <c r="V69" s="77"/>
      <c r="W69" s="77"/>
      <c r="X69" s="77"/>
      <c r="Y69" s="77"/>
      <c r="Z69" s="77"/>
      <c r="AA69" s="77"/>
      <c r="AB69" s="77"/>
    </row>
    <row r="70" spans="1:28" ht="14.4" customHeight="1" x14ac:dyDescent="0.25">
      <c r="A70" s="77"/>
      <c r="B70" s="77"/>
      <c r="C70" s="77"/>
      <c r="D70" s="77"/>
      <c r="E70" s="77"/>
      <c r="F70" s="77"/>
      <c r="G70" s="77"/>
      <c r="H70" s="176"/>
      <c r="I70" s="77"/>
      <c r="J70" s="90"/>
      <c r="K70" s="91"/>
      <c r="L70" s="91"/>
      <c r="M70" s="77"/>
      <c r="N70" s="77"/>
      <c r="O70" s="77"/>
      <c r="P70" s="95"/>
      <c r="Q70" s="95"/>
      <c r="R70" s="95"/>
      <c r="S70" s="77"/>
      <c r="T70" s="77"/>
      <c r="U70" s="77"/>
      <c r="V70" s="77"/>
      <c r="W70" s="77"/>
      <c r="X70" s="77"/>
      <c r="Y70" s="77"/>
      <c r="Z70" s="77"/>
      <c r="AA70" s="77"/>
      <c r="AB70" s="77"/>
    </row>
    <row r="71" spans="1:28" ht="14.4" customHeight="1" x14ac:dyDescent="0.25">
      <c r="A71" s="77"/>
      <c r="B71" s="77"/>
      <c r="C71" s="77"/>
      <c r="D71" s="77"/>
      <c r="E71" s="77"/>
      <c r="F71" s="77"/>
      <c r="G71" s="77"/>
      <c r="H71" s="176"/>
      <c r="I71" s="77"/>
      <c r="J71" s="90"/>
      <c r="K71" s="91"/>
      <c r="L71" s="91"/>
      <c r="M71" s="77"/>
      <c r="N71" s="77"/>
      <c r="O71" s="77"/>
      <c r="P71" s="95"/>
      <c r="Q71" s="95"/>
      <c r="R71" s="95"/>
      <c r="S71" s="77"/>
      <c r="T71" s="77"/>
      <c r="U71" s="77"/>
      <c r="V71" s="77"/>
      <c r="W71" s="77"/>
      <c r="X71" s="77"/>
      <c r="Y71" s="77"/>
      <c r="Z71" s="77"/>
      <c r="AA71" s="77"/>
      <c r="AB71" s="77"/>
    </row>
    <row r="72" spans="1:28" ht="14.4" customHeight="1" x14ac:dyDescent="0.25">
      <c r="A72" s="77"/>
      <c r="B72" s="77"/>
      <c r="C72" s="77"/>
      <c r="D72" s="77"/>
      <c r="E72" s="77"/>
      <c r="F72" s="77"/>
      <c r="G72" s="77"/>
      <c r="H72" s="176"/>
      <c r="I72" s="77"/>
      <c r="J72" s="90"/>
      <c r="K72" s="91"/>
      <c r="L72" s="91"/>
      <c r="M72" s="77"/>
      <c r="N72" s="77"/>
      <c r="O72" s="77"/>
      <c r="P72" s="95"/>
      <c r="Q72" s="95"/>
      <c r="R72" s="95"/>
      <c r="S72" s="77"/>
      <c r="T72" s="77"/>
      <c r="U72" s="77"/>
      <c r="V72" s="77"/>
      <c r="W72" s="77"/>
      <c r="X72" s="77"/>
      <c r="Y72" s="77"/>
      <c r="Z72" s="77"/>
      <c r="AA72" s="77"/>
      <c r="AB72" s="77"/>
    </row>
    <row r="73" spans="1:28" ht="14.4" customHeight="1" x14ac:dyDescent="0.25">
      <c r="A73" s="77"/>
      <c r="B73" s="77"/>
      <c r="C73" s="77"/>
      <c r="D73" s="77"/>
      <c r="E73" s="77"/>
      <c r="F73" s="77"/>
      <c r="G73" s="77"/>
      <c r="H73" s="176"/>
      <c r="I73" s="77"/>
      <c r="J73" s="90"/>
      <c r="K73" s="91"/>
      <c r="L73" s="91"/>
      <c r="M73" s="77"/>
      <c r="N73" s="77"/>
      <c r="O73" s="77"/>
      <c r="P73" s="95"/>
      <c r="Q73" s="95"/>
      <c r="R73" s="95"/>
      <c r="S73" s="77"/>
      <c r="T73" s="77"/>
      <c r="U73" s="77"/>
      <c r="V73" s="77"/>
      <c r="W73" s="77"/>
      <c r="X73" s="77"/>
      <c r="Y73" s="77"/>
      <c r="Z73" s="77"/>
      <c r="AA73" s="77"/>
      <c r="AB73" s="77"/>
    </row>
    <row r="74" spans="1:28" ht="14.4" customHeight="1" x14ac:dyDescent="0.25">
      <c r="A74" s="77"/>
      <c r="B74" s="77"/>
      <c r="C74" s="77"/>
      <c r="D74" s="77"/>
      <c r="E74" s="77"/>
      <c r="F74" s="77"/>
      <c r="G74" s="77"/>
      <c r="H74" s="176"/>
      <c r="I74" s="77"/>
      <c r="J74" s="90"/>
      <c r="K74" s="91"/>
      <c r="L74" s="91"/>
      <c r="M74" s="77"/>
      <c r="N74" s="77"/>
      <c r="O74" s="77"/>
      <c r="P74" s="95"/>
      <c r="Q74" s="95"/>
      <c r="R74" s="95"/>
      <c r="S74" s="77"/>
      <c r="T74" s="77"/>
      <c r="U74" s="77"/>
      <c r="V74" s="77"/>
      <c r="W74" s="77"/>
      <c r="X74" s="77"/>
      <c r="Y74" s="77"/>
      <c r="Z74" s="77"/>
      <c r="AA74" s="77"/>
      <c r="AB74" s="77"/>
    </row>
    <row r="75" spans="1:28" ht="14.4" customHeight="1" x14ac:dyDescent="0.25">
      <c r="A75" s="77"/>
      <c r="B75" s="77"/>
      <c r="C75" s="77"/>
      <c r="D75" s="77"/>
      <c r="E75" s="77"/>
      <c r="F75" s="77"/>
      <c r="G75" s="77"/>
      <c r="H75" s="176"/>
      <c r="I75" s="77"/>
      <c r="J75" s="90"/>
      <c r="K75" s="91"/>
      <c r="L75" s="91"/>
      <c r="M75" s="77"/>
      <c r="N75" s="77"/>
      <c r="O75" s="77"/>
      <c r="P75" s="95"/>
      <c r="Q75" s="95"/>
      <c r="R75" s="95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 spans="1:28" ht="14.4" customHeight="1" x14ac:dyDescent="0.25">
      <c r="A76" s="77"/>
      <c r="B76" s="77"/>
      <c r="C76" s="77"/>
      <c r="D76" s="77"/>
      <c r="E76" s="77"/>
      <c r="F76" s="77"/>
      <c r="G76" s="77"/>
      <c r="H76" s="176"/>
      <c r="I76" s="77"/>
      <c r="J76" s="90"/>
      <c r="K76" s="91"/>
      <c r="L76" s="91"/>
      <c r="M76" s="77"/>
      <c r="N76" s="77"/>
      <c r="O76" s="77"/>
      <c r="P76" s="95"/>
      <c r="Q76" s="95"/>
      <c r="R76" s="95"/>
      <c r="S76" s="77"/>
      <c r="T76" s="77"/>
      <c r="U76" s="77"/>
      <c r="V76" s="77"/>
      <c r="W76" s="77"/>
      <c r="X76" s="77"/>
      <c r="Y76" s="77"/>
      <c r="Z76" s="77"/>
      <c r="AA76" s="77"/>
      <c r="AB76" s="77"/>
    </row>
    <row r="77" spans="1:28" ht="14.4" customHeight="1" x14ac:dyDescent="0.25">
      <c r="A77" s="77"/>
      <c r="B77" s="77"/>
      <c r="C77" s="77"/>
      <c r="D77" s="77"/>
      <c r="E77" s="77"/>
      <c r="F77" s="77"/>
      <c r="G77" s="77"/>
      <c r="H77" s="176"/>
      <c r="I77" s="77"/>
      <c r="J77" s="90"/>
      <c r="K77" s="91"/>
      <c r="L77" s="91"/>
      <c r="M77" s="77"/>
      <c r="N77" s="77"/>
      <c r="O77" s="77"/>
      <c r="P77" s="95"/>
      <c r="Q77" s="95"/>
      <c r="R77" s="95"/>
      <c r="S77" s="77"/>
      <c r="T77" s="77"/>
      <c r="U77" s="77"/>
      <c r="V77" s="77"/>
      <c r="W77" s="77"/>
      <c r="X77" s="77"/>
      <c r="Y77" s="77"/>
      <c r="Z77" s="77"/>
      <c r="AA77" s="77"/>
      <c r="AB77" s="77"/>
    </row>
    <row r="78" spans="1:28" ht="14.4" customHeight="1" x14ac:dyDescent="0.25">
      <c r="A78" s="77"/>
      <c r="B78" s="77"/>
      <c r="C78" s="77"/>
      <c r="D78" s="77"/>
      <c r="E78" s="77"/>
      <c r="F78" s="77"/>
      <c r="G78" s="77"/>
      <c r="H78" s="176"/>
      <c r="I78" s="77"/>
      <c r="J78" s="90"/>
      <c r="K78" s="91"/>
      <c r="L78" s="91"/>
      <c r="M78" s="77"/>
      <c r="N78" s="77"/>
      <c r="O78" s="77"/>
      <c r="P78" s="95"/>
      <c r="Q78" s="95"/>
      <c r="R78" s="95"/>
      <c r="S78" s="77"/>
      <c r="T78" s="77"/>
      <c r="U78" s="77"/>
      <c r="V78" s="77"/>
      <c r="W78" s="77"/>
      <c r="X78" s="77"/>
      <c r="Y78" s="77"/>
      <c r="Z78" s="77"/>
      <c r="AA78" s="77"/>
      <c r="AB78" s="77"/>
    </row>
    <row r="79" spans="1:28" ht="14.4" customHeight="1" x14ac:dyDescent="0.25">
      <c r="A79" s="77"/>
      <c r="B79" s="77"/>
      <c r="C79" s="77"/>
      <c r="D79" s="77"/>
      <c r="E79" s="77"/>
      <c r="F79" s="77"/>
      <c r="G79" s="77"/>
      <c r="H79" s="176"/>
      <c r="I79" s="77"/>
      <c r="J79" s="90"/>
      <c r="K79" s="91"/>
      <c r="L79" s="91"/>
      <c r="M79" s="77"/>
      <c r="N79" s="77"/>
      <c r="O79" s="77"/>
      <c r="P79" s="95"/>
      <c r="Q79" s="95"/>
      <c r="R79" s="95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 spans="1:28" ht="14.4" customHeight="1" x14ac:dyDescent="0.25">
      <c r="A80" s="77"/>
      <c r="B80" s="77"/>
      <c r="C80" s="77"/>
      <c r="D80" s="77"/>
      <c r="E80" s="77"/>
      <c r="F80" s="77"/>
      <c r="G80" s="77"/>
      <c r="H80" s="176"/>
      <c r="I80" s="77"/>
      <c r="J80" s="90"/>
      <c r="K80" s="91"/>
      <c r="L80" s="91"/>
      <c r="M80" s="77"/>
      <c r="N80" s="77"/>
      <c r="O80" s="77"/>
      <c r="P80" s="95"/>
      <c r="Q80" s="95"/>
      <c r="R80" s="95"/>
      <c r="S80" s="77"/>
      <c r="T80" s="77"/>
      <c r="U80" s="77"/>
      <c r="V80" s="77"/>
      <c r="W80" s="77"/>
      <c r="X80" s="77"/>
      <c r="Y80" s="77"/>
      <c r="Z80" s="77"/>
      <c r="AA80" s="77"/>
      <c r="AB80" s="77"/>
    </row>
    <row r="81" spans="1:28" ht="14.4" customHeight="1" x14ac:dyDescent="0.25">
      <c r="A81" s="77"/>
      <c r="B81" s="77"/>
      <c r="C81" s="77"/>
      <c r="D81" s="77"/>
      <c r="E81" s="77"/>
      <c r="F81" s="77"/>
      <c r="G81" s="77"/>
      <c r="H81" s="176"/>
      <c r="I81" s="77"/>
      <c r="J81" s="90"/>
      <c r="K81" s="91"/>
      <c r="L81" s="91"/>
      <c r="M81" s="77"/>
      <c r="N81" s="77"/>
      <c r="O81" s="77"/>
      <c r="P81" s="95"/>
      <c r="Q81" s="95"/>
      <c r="R81" s="95"/>
      <c r="S81" s="77"/>
      <c r="T81" s="77"/>
      <c r="U81" s="77"/>
      <c r="V81" s="77"/>
      <c r="W81" s="77"/>
      <c r="X81" s="77"/>
      <c r="Y81" s="77"/>
      <c r="Z81" s="77"/>
      <c r="AA81" s="77"/>
      <c r="AB81" s="77"/>
    </row>
    <row r="82" spans="1:28" ht="14.4" customHeight="1" x14ac:dyDescent="0.25">
      <c r="A82" s="77"/>
      <c r="B82" s="77"/>
      <c r="C82" s="77"/>
      <c r="D82" s="77"/>
      <c r="E82" s="77"/>
      <c r="F82" s="77"/>
      <c r="G82" s="77"/>
      <c r="H82" s="176"/>
      <c r="I82" s="77"/>
      <c r="J82" s="90"/>
      <c r="K82" s="91"/>
      <c r="L82" s="91"/>
      <c r="M82" s="77"/>
      <c r="N82" s="77"/>
      <c r="O82" s="77"/>
      <c r="P82" s="95"/>
      <c r="Q82" s="95"/>
      <c r="R82" s="95"/>
      <c r="S82" s="77"/>
      <c r="T82" s="77"/>
      <c r="U82" s="77"/>
      <c r="V82" s="77"/>
      <c r="W82" s="77"/>
      <c r="X82" s="77"/>
      <c r="Y82" s="77"/>
      <c r="Z82" s="77"/>
      <c r="AA82" s="77"/>
      <c r="AB82" s="77"/>
    </row>
    <row r="83" spans="1:28" ht="14.4" customHeight="1" x14ac:dyDescent="0.25">
      <c r="A83" s="77"/>
      <c r="B83" s="77"/>
      <c r="C83" s="77"/>
      <c r="D83" s="77"/>
      <c r="E83" s="77"/>
      <c r="F83" s="77"/>
      <c r="G83" s="77"/>
      <c r="H83" s="176"/>
      <c r="I83" s="77"/>
      <c r="J83" s="90"/>
      <c r="K83" s="91"/>
      <c r="L83" s="91"/>
      <c r="M83" s="77"/>
      <c r="N83" s="77"/>
      <c r="O83" s="77"/>
      <c r="P83" s="95"/>
      <c r="Q83" s="95"/>
      <c r="R83" s="95"/>
      <c r="S83" s="77"/>
      <c r="T83" s="77"/>
      <c r="U83" s="77"/>
      <c r="V83" s="77"/>
      <c r="W83" s="77"/>
      <c r="X83" s="77"/>
      <c r="Y83" s="77"/>
      <c r="Z83" s="77"/>
      <c r="AA83" s="77"/>
      <c r="AB83" s="77"/>
    </row>
    <row r="84" spans="1:28" ht="14.4" customHeight="1" x14ac:dyDescent="0.25">
      <c r="A84" s="77"/>
      <c r="B84" s="77"/>
      <c r="C84" s="77"/>
      <c r="D84" s="77"/>
      <c r="E84" s="77"/>
      <c r="F84" s="77"/>
      <c r="G84" s="77"/>
      <c r="H84" s="176"/>
      <c r="I84" s="77"/>
      <c r="J84" s="90"/>
      <c r="K84" s="91"/>
      <c r="L84" s="91"/>
      <c r="M84" s="77"/>
      <c r="N84" s="77"/>
      <c r="O84" s="77"/>
      <c r="P84" s="95"/>
      <c r="Q84" s="95"/>
      <c r="R84" s="95"/>
      <c r="S84" s="77"/>
      <c r="T84" s="77"/>
      <c r="U84" s="77"/>
      <c r="V84" s="77"/>
      <c r="W84" s="77"/>
      <c r="X84" s="77"/>
      <c r="Y84" s="77"/>
      <c r="Z84" s="77"/>
      <c r="AA84" s="77"/>
      <c r="AB84" s="77"/>
    </row>
    <row r="85" spans="1:28" ht="14.4" customHeight="1" x14ac:dyDescent="0.25">
      <c r="A85" s="77"/>
      <c r="B85" s="77"/>
      <c r="C85" s="77"/>
      <c r="D85" s="77"/>
      <c r="E85" s="77"/>
      <c r="F85" s="77"/>
      <c r="G85" s="77"/>
      <c r="H85" s="176"/>
      <c r="I85" s="77"/>
      <c r="J85" s="90"/>
      <c r="K85" s="91"/>
      <c r="L85" s="91"/>
      <c r="M85" s="77"/>
      <c r="N85" s="77"/>
      <c r="O85" s="77"/>
      <c r="P85" s="95"/>
      <c r="Q85" s="95"/>
      <c r="R85" s="95"/>
      <c r="S85" s="77"/>
      <c r="T85" s="77"/>
      <c r="U85" s="77"/>
      <c r="V85" s="77"/>
      <c r="W85" s="77"/>
      <c r="X85" s="77"/>
      <c r="Y85" s="77"/>
      <c r="Z85" s="77"/>
      <c r="AA85" s="77"/>
      <c r="AB85" s="77"/>
    </row>
    <row r="86" spans="1:28" ht="14.4" customHeight="1" x14ac:dyDescent="0.25">
      <c r="A86" s="77"/>
      <c r="B86" s="77"/>
      <c r="C86" s="77"/>
      <c r="D86" s="77"/>
      <c r="E86" s="77"/>
      <c r="F86" s="77"/>
      <c r="G86" s="77"/>
      <c r="H86" s="176"/>
      <c r="I86" s="77"/>
      <c r="J86" s="90"/>
      <c r="K86" s="91"/>
      <c r="L86" s="91"/>
      <c r="M86" s="77"/>
      <c r="N86" s="77"/>
      <c r="O86" s="77"/>
      <c r="P86" s="95"/>
      <c r="Q86" s="95"/>
      <c r="R86" s="95"/>
      <c r="S86" s="77"/>
      <c r="T86" s="77"/>
      <c r="U86" s="77"/>
      <c r="V86" s="77"/>
      <c r="W86" s="77"/>
      <c r="X86" s="77"/>
      <c r="Y86" s="77"/>
      <c r="Z86" s="77"/>
      <c r="AA86" s="77"/>
      <c r="AB86" s="77"/>
    </row>
    <row r="87" spans="1:28" ht="14.4" customHeight="1" x14ac:dyDescent="0.25">
      <c r="A87" s="77"/>
      <c r="B87" s="77"/>
      <c r="C87" s="77"/>
      <c r="D87" s="77"/>
      <c r="E87" s="77"/>
      <c r="F87" s="77"/>
      <c r="G87" s="77"/>
      <c r="H87" s="176"/>
      <c r="I87" s="77"/>
      <c r="J87" s="90"/>
      <c r="K87" s="91"/>
      <c r="L87" s="91"/>
      <c r="M87" s="77"/>
      <c r="N87" s="77"/>
      <c r="O87" s="77"/>
      <c r="P87" s="95"/>
      <c r="Q87" s="95"/>
      <c r="R87" s="95"/>
      <c r="S87" s="77"/>
      <c r="T87" s="77"/>
      <c r="U87" s="77"/>
      <c r="V87" s="77"/>
      <c r="W87" s="77"/>
      <c r="X87" s="77"/>
      <c r="Y87" s="77"/>
      <c r="Z87" s="77"/>
      <c r="AA87" s="77"/>
      <c r="AB87" s="77"/>
    </row>
    <row r="88" spans="1:28" ht="14.4" customHeight="1" x14ac:dyDescent="0.25">
      <c r="A88" s="77"/>
      <c r="B88" s="77"/>
      <c r="C88" s="77"/>
      <c r="D88" s="77"/>
      <c r="E88" s="77"/>
      <c r="F88" s="77"/>
      <c r="G88" s="77"/>
      <c r="H88" s="176"/>
      <c r="I88" s="77"/>
      <c r="J88" s="90"/>
      <c r="K88" s="91"/>
      <c r="L88" s="91"/>
      <c r="M88" s="77"/>
      <c r="N88" s="77"/>
      <c r="O88" s="77"/>
      <c r="P88" s="95"/>
      <c r="Q88" s="95"/>
      <c r="R88" s="95"/>
      <c r="S88" s="77"/>
      <c r="T88" s="77"/>
      <c r="U88" s="77"/>
      <c r="V88" s="77"/>
      <c r="W88" s="77"/>
      <c r="X88" s="77"/>
      <c r="Y88" s="77"/>
      <c r="Z88" s="77"/>
      <c r="AA88" s="77"/>
      <c r="AB88" s="77"/>
    </row>
    <row r="89" spans="1:28" ht="14.4" customHeight="1" x14ac:dyDescent="0.25">
      <c r="A89" s="77"/>
      <c r="B89" s="77"/>
      <c r="C89" s="77"/>
      <c r="D89" s="77"/>
      <c r="E89" s="77"/>
      <c r="F89" s="77"/>
      <c r="G89" s="77"/>
      <c r="H89" s="176"/>
      <c r="I89" s="77"/>
      <c r="J89" s="90"/>
      <c r="K89" s="91"/>
      <c r="L89" s="91"/>
      <c r="M89" s="77"/>
      <c r="N89" s="77"/>
      <c r="O89" s="77"/>
      <c r="P89" s="95"/>
      <c r="Q89" s="95"/>
      <c r="R89" s="95"/>
      <c r="S89" s="77"/>
      <c r="T89" s="77"/>
      <c r="U89" s="77"/>
      <c r="V89" s="77"/>
      <c r="W89" s="77"/>
      <c r="X89" s="77"/>
      <c r="Y89" s="77"/>
      <c r="Z89" s="77"/>
      <c r="AA89" s="77"/>
      <c r="AB89" s="77"/>
    </row>
    <row r="90" spans="1:28" ht="14.4" customHeight="1" x14ac:dyDescent="0.25">
      <c r="A90" s="77"/>
      <c r="B90" s="77"/>
      <c r="C90" s="77"/>
      <c r="D90" s="77"/>
      <c r="E90" s="77"/>
      <c r="F90" s="77"/>
      <c r="G90" s="77"/>
      <c r="H90" s="176"/>
      <c r="I90" s="77"/>
      <c r="J90" s="90"/>
      <c r="K90" s="91"/>
      <c r="L90" s="91"/>
      <c r="M90" s="77"/>
      <c r="N90" s="77"/>
      <c r="O90" s="77"/>
      <c r="P90" s="95"/>
      <c r="Q90" s="95"/>
      <c r="R90" s="95"/>
      <c r="S90" s="77"/>
      <c r="T90" s="77"/>
      <c r="U90" s="77"/>
      <c r="V90" s="77"/>
      <c r="W90" s="77"/>
      <c r="X90" s="77"/>
      <c r="Y90" s="77"/>
      <c r="Z90" s="77"/>
      <c r="AA90" s="77"/>
      <c r="AB90" s="77"/>
    </row>
    <row r="91" spans="1:28" ht="14.4" customHeight="1" x14ac:dyDescent="0.25">
      <c r="A91" s="77"/>
      <c r="B91" s="77"/>
      <c r="C91" s="77"/>
      <c r="D91" s="77"/>
      <c r="E91" s="77"/>
      <c r="F91" s="77"/>
      <c r="G91" s="77"/>
      <c r="H91" s="176"/>
      <c r="I91" s="77"/>
      <c r="J91" s="90"/>
      <c r="K91" s="91"/>
      <c r="L91" s="91"/>
      <c r="M91" s="77"/>
      <c r="N91" s="77"/>
      <c r="O91" s="77"/>
      <c r="P91" s="95"/>
      <c r="Q91" s="95"/>
      <c r="R91" s="95"/>
      <c r="S91" s="77"/>
      <c r="T91" s="77"/>
      <c r="U91" s="77"/>
      <c r="V91" s="77"/>
      <c r="W91" s="77"/>
      <c r="X91" s="77"/>
      <c r="Y91" s="77"/>
      <c r="Z91" s="77"/>
      <c r="AA91" s="77"/>
      <c r="AB91" s="77"/>
    </row>
    <row r="92" spans="1:28" ht="14.4" customHeight="1" x14ac:dyDescent="0.25">
      <c r="A92" s="77"/>
      <c r="B92" s="77"/>
      <c r="C92" s="77"/>
      <c r="D92" s="77"/>
      <c r="E92" s="77"/>
      <c r="F92" s="77"/>
      <c r="G92" s="77"/>
      <c r="H92" s="176"/>
      <c r="I92" s="77"/>
      <c r="J92" s="90"/>
      <c r="K92" s="91"/>
      <c r="L92" s="91"/>
      <c r="M92" s="77"/>
      <c r="N92" s="77"/>
      <c r="O92" s="77"/>
      <c r="P92" s="95"/>
      <c r="Q92" s="95"/>
      <c r="R92" s="95"/>
      <c r="S92" s="77"/>
      <c r="T92" s="77"/>
      <c r="U92" s="77"/>
      <c r="V92" s="77"/>
      <c r="W92" s="77"/>
      <c r="X92" s="77"/>
      <c r="Y92" s="77"/>
      <c r="Z92" s="77"/>
      <c r="AA92" s="77"/>
      <c r="AB92" s="77"/>
    </row>
    <row r="93" spans="1:28" ht="14.4" customHeight="1" x14ac:dyDescent="0.25">
      <c r="A93" s="77"/>
      <c r="B93" s="77"/>
      <c r="C93" s="77"/>
      <c r="D93" s="77"/>
      <c r="E93" s="77"/>
      <c r="F93" s="77"/>
      <c r="G93" s="77"/>
      <c r="H93" s="176"/>
      <c r="I93" s="77"/>
      <c r="J93" s="90"/>
      <c r="K93" s="91"/>
      <c r="L93" s="91"/>
      <c r="M93" s="77"/>
      <c r="N93" s="77"/>
      <c r="O93" s="77"/>
      <c r="P93" s="95"/>
      <c r="Q93" s="95"/>
      <c r="R93" s="95"/>
      <c r="S93" s="77"/>
      <c r="T93" s="77"/>
      <c r="U93" s="77"/>
      <c r="V93" s="77"/>
      <c r="W93" s="77"/>
      <c r="X93" s="77"/>
      <c r="Y93" s="77"/>
      <c r="Z93" s="77"/>
      <c r="AA93" s="77"/>
      <c r="AB93" s="77"/>
    </row>
    <row r="94" spans="1:28" ht="14.4" customHeight="1" x14ac:dyDescent="0.25">
      <c r="A94" s="77"/>
      <c r="B94" s="77"/>
      <c r="C94" s="77"/>
      <c r="D94" s="77"/>
      <c r="E94" s="77"/>
      <c r="F94" s="77"/>
      <c r="G94" s="77"/>
      <c r="H94" s="176"/>
      <c r="I94" s="77"/>
      <c r="J94" s="90"/>
      <c r="K94" s="91"/>
      <c r="L94" s="91"/>
      <c r="M94" s="77"/>
      <c r="N94" s="77"/>
      <c r="O94" s="77"/>
      <c r="P94" s="95"/>
      <c r="Q94" s="95"/>
      <c r="R94" s="95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 spans="1:28" ht="14.4" customHeight="1" x14ac:dyDescent="0.25">
      <c r="A95" s="77"/>
      <c r="B95" s="77"/>
      <c r="C95" s="77"/>
      <c r="D95" s="77"/>
      <c r="E95" s="77"/>
      <c r="F95" s="77"/>
      <c r="G95" s="77"/>
      <c r="H95" s="176"/>
      <c r="I95" s="77"/>
      <c r="J95" s="90"/>
      <c r="K95" s="91"/>
      <c r="L95" s="91"/>
      <c r="M95" s="77"/>
      <c r="N95" s="77"/>
      <c r="O95" s="77"/>
      <c r="P95" s="95"/>
      <c r="Q95" s="95"/>
      <c r="R95" s="95"/>
      <c r="S95" s="77"/>
      <c r="T95" s="77"/>
      <c r="U95" s="77"/>
      <c r="V95" s="77"/>
      <c r="W95" s="77"/>
      <c r="X95" s="77"/>
      <c r="Y95" s="77"/>
      <c r="Z95" s="77"/>
      <c r="AA95" s="77"/>
      <c r="AB95" s="77"/>
    </row>
    <row r="96" spans="1:28" ht="14.4" customHeight="1" x14ac:dyDescent="0.25">
      <c r="A96" s="77"/>
      <c r="B96" s="77"/>
      <c r="C96" s="77"/>
      <c r="D96" s="77"/>
      <c r="E96" s="77"/>
      <c r="F96" s="77"/>
      <c r="G96" s="77"/>
      <c r="H96" s="176"/>
      <c r="I96" s="77"/>
      <c r="J96" s="90"/>
      <c r="K96" s="91"/>
      <c r="L96" s="91"/>
      <c r="M96" s="77"/>
      <c r="N96" s="77"/>
      <c r="O96" s="77"/>
      <c r="P96" s="95"/>
      <c r="Q96" s="95"/>
      <c r="R96" s="95"/>
      <c r="S96" s="77"/>
      <c r="T96" s="77"/>
      <c r="U96" s="77"/>
      <c r="V96" s="77"/>
      <c r="W96" s="77"/>
      <c r="X96" s="77"/>
      <c r="Y96" s="77"/>
      <c r="Z96" s="77"/>
      <c r="AA96" s="77"/>
      <c r="AB96" s="77"/>
    </row>
    <row r="97" spans="1:28" ht="14.4" customHeight="1" x14ac:dyDescent="0.25">
      <c r="A97" s="77"/>
      <c r="B97" s="77"/>
      <c r="C97" s="77"/>
      <c r="D97" s="77"/>
      <c r="E97" s="77"/>
      <c r="F97" s="77"/>
      <c r="G97" s="77"/>
      <c r="H97" s="176"/>
      <c r="I97" s="77"/>
      <c r="J97" s="90"/>
      <c r="K97" s="91"/>
      <c r="L97" s="91"/>
      <c r="M97" s="77"/>
      <c r="N97" s="77"/>
      <c r="O97" s="77"/>
      <c r="P97" s="95"/>
      <c r="Q97" s="95"/>
      <c r="R97" s="95"/>
      <c r="S97" s="77"/>
      <c r="T97" s="77"/>
      <c r="U97" s="77"/>
      <c r="V97" s="77"/>
      <c r="W97" s="77"/>
      <c r="X97" s="77"/>
      <c r="Y97" s="77"/>
      <c r="Z97" s="77"/>
      <c r="AA97" s="77"/>
      <c r="AB97" s="77"/>
    </row>
    <row r="98" spans="1:28" ht="14.4" customHeight="1" x14ac:dyDescent="0.25">
      <c r="A98" s="77"/>
      <c r="B98" s="77"/>
      <c r="C98" s="77"/>
      <c r="D98" s="77"/>
      <c r="E98" s="77"/>
      <c r="F98" s="77"/>
      <c r="G98" s="77"/>
      <c r="H98" s="176"/>
      <c r="I98" s="77"/>
      <c r="J98" s="90"/>
      <c r="K98" s="91"/>
      <c r="L98" s="91"/>
      <c r="M98" s="77"/>
      <c r="N98" s="77"/>
      <c r="O98" s="77"/>
      <c r="P98" s="95"/>
      <c r="Q98" s="95"/>
      <c r="R98" s="95"/>
      <c r="S98" s="77"/>
      <c r="T98" s="77"/>
      <c r="U98" s="77"/>
      <c r="V98" s="77"/>
      <c r="W98" s="77"/>
      <c r="X98" s="77"/>
      <c r="Y98" s="77"/>
      <c r="Z98" s="77"/>
      <c r="AA98" s="77"/>
      <c r="AB98" s="77"/>
    </row>
    <row r="99" spans="1:28" ht="14.4" customHeight="1" x14ac:dyDescent="0.25">
      <c r="A99" s="77"/>
      <c r="B99" s="77"/>
      <c r="C99" s="77"/>
      <c r="D99" s="77"/>
      <c r="E99" s="77"/>
      <c r="F99" s="77"/>
      <c r="G99" s="77"/>
      <c r="H99" s="176"/>
      <c r="I99" s="77"/>
      <c r="J99" s="90"/>
      <c r="K99" s="91"/>
      <c r="L99" s="91"/>
      <c r="M99" s="77"/>
      <c r="N99" s="77"/>
      <c r="O99" s="77"/>
      <c r="P99" s="95"/>
      <c r="Q99" s="95"/>
      <c r="R99" s="95"/>
      <c r="S99" s="77"/>
      <c r="T99" s="77"/>
      <c r="U99" s="77"/>
      <c r="V99" s="77"/>
      <c r="W99" s="77"/>
      <c r="X99" s="77"/>
      <c r="Y99" s="77"/>
      <c r="Z99" s="77"/>
      <c r="AA99" s="77"/>
      <c r="AB99" s="77"/>
    </row>
    <row r="100" spans="1:28" ht="14.4" customHeight="1" x14ac:dyDescent="0.25">
      <c r="A100" s="77"/>
      <c r="B100" s="77"/>
      <c r="C100" s="77"/>
      <c r="D100" s="77"/>
      <c r="E100" s="77"/>
      <c r="F100" s="77"/>
      <c r="G100" s="77"/>
      <c r="H100" s="176"/>
      <c r="I100" s="77"/>
      <c r="J100" s="90"/>
      <c r="K100" s="91"/>
      <c r="L100" s="91"/>
      <c r="M100" s="77"/>
      <c r="N100" s="77"/>
      <c r="O100" s="77"/>
      <c r="P100" s="95"/>
      <c r="Q100" s="95"/>
      <c r="R100" s="95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</row>
    <row r="101" spans="1:28" ht="14.4" customHeight="1" x14ac:dyDescent="0.25">
      <c r="A101" s="77"/>
      <c r="B101" s="77"/>
      <c r="C101" s="77"/>
      <c r="D101" s="77"/>
      <c r="E101" s="77"/>
      <c r="F101" s="77"/>
      <c r="G101" s="77"/>
      <c r="H101" s="176"/>
      <c r="I101" s="77"/>
      <c r="J101" s="90"/>
      <c r="K101" s="91"/>
      <c r="L101" s="91"/>
      <c r="M101" s="77"/>
      <c r="N101" s="77"/>
      <c r="O101" s="77"/>
      <c r="P101" s="95"/>
      <c r="Q101" s="95"/>
      <c r="R101" s="95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</row>
    <row r="102" spans="1:28" ht="14.4" customHeight="1" x14ac:dyDescent="0.25">
      <c r="A102" s="77"/>
      <c r="B102" s="77"/>
      <c r="C102" s="77"/>
      <c r="D102" s="77"/>
      <c r="E102" s="77"/>
      <c r="F102" s="77"/>
      <c r="G102" s="77"/>
      <c r="H102" s="176"/>
      <c r="I102" s="77"/>
      <c r="J102" s="90"/>
      <c r="K102" s="91"/>
      <c r="L102" s="91"/>
      <c r="M102" s="77"/>
      <c r="N102" s="77"/>
      <c r="O102" s="77"/>
      <c r="P102" s="95"/>
      <c r="Q102" s="95"/>
      <c r="R102" s="95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</row>
    <row r="103" spans="1:28" ht="14.4" customHeight="1" x14ac:dyDescent="0.25">
      <c r="A103" s="77"/>
      <c r="B103" s="77"/>
      <c r="C103" s="77"/>
      <c r="D103" s="77"/>
      <c r="E103" s="77"/>
      <c r="F103" s="77"/>
      <c r="G103" s="77"/>
      <c r="H103" s="176"/>
      <c r="I103" s="77"/>
      <c r="J103" s="90"/>
      <c r="K103" s="91"/>
      <c r="L103" s="91"/>
      <c r="M103" s="77"/>
      <c r="N103" s="77"/>
      <c r="O103" s="77"/>
      <c r="P103" s="95"/>
      <c r="Q103" s="95"/>
      <c r="R103" s="95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</row>
    <row r="104" spans="1:28" ht="14.4" customHeight="1" x14ac:dyDescent="0.25">
      <c r="A104" s="77"/>
      <c r="B104" s="77"/>
      <c r="C104" s="77"/>
      <c r="D104" s="77"/>
      <c r="E104" s="77"/>
      <c r="F104" s="77"/>
      <c r="G104" s="77"/>
      <c r="H104" s="176"/>
      <c r="I104" s="77"/>
      <c r="J104" s="90"/>
      <c r="K104" s="91"/>
      <c r="L104" s="91"/>
      <c r="M104" s="77"/>
      <c r="N104" s="77"/>
      <c r="O104" s="77"/>
      <c r="P104" s="95"/>
      <c r="Q104" s="95"/>
      <c r="R104" s="95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</row>
    <row r="105" spans="1:28" ht="14.4" customHeight="1" x14ac:dyDescent="0.25">
      <c r="A105" s="77"/>
      <c r="B105" s="77"/>
      <c r="C105" s="77"/>
      <c r="D105" s="77"/>
      <c r="E105" s="77"/>
      <c r="F105" s="77"/>
      <c r="G105" s="77"/>
      <c r="H105" s="176"/>
      <c r="I105" s="77"/>
      <c r="J105" s="90"/>
      <c r="K105" s="91"/>
      <c r="L105" s="91"/>
      <c r="M105" s="77"/>
      <c r="N105" s="77"/>
      <c r="O105" s="77"/>
      <c r="P105" s="95"/>
      <c r="Q105" s="95"/>
      <c r="R105" s="95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</row>
    <row r="106" spans="1:28" ht="14.4" customHeight="1" x14ac:dyDescent="0.25">
      <c r="A106" s="77"/>
      <c r="B106" s="77"/>
      <c r="C106" s="77"/>
      <c r="D106" s="77"/>
      <c r="E106" s="77"/>
      <c r="F106" s="77"/>
      <c r="G106" s="77"/>
      <c r="H106" s="176"/>
      <c r="I106" s="77"/>
      <c r="J106" s="90"/>
      <c r="K106" s="91"/>
      <c r="L106" s="91"/>
      <c r="M106" s="77"/>
      <c r="N106" s="77"/>
      <c r="O106" s="77"/>
      <c r="P106" s="95"/>
      <c r="Q106" s="95"/>
      <c r="R106" s="95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</row>
    <row r="107" spans="1:28" ht="14.4" customHeight="1" x14ac:dyDescent="0.25">
      <c r="A107" s="77"/>
      <c r="B107" s="77"/>
      <c r="C107" s="77"/>
      <c r="D107" s="77"/>
      <c r="E107" s="77"/>
      <c r="F107" s="77"/>
      <c r="G107" s="77"/>
      <c r="H107" s="176"/>
      <c r="I107" s="77"/>
      <c r="J107" s="90"/>
      <c r="K107" s="91"/>
      <c r="L107" s="91"/>
      <c r="M107" s="77"/>
      <c r="N107" s="77"/>
      <c r="O107" s="77"/>
      <c r="P107" s="95"/>
      <c r="Q107" s="95"/>
      <c r="R107" s="95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</row>
    <row r="108" spans="1:28" ht="14.4" customHeight="1" x14ac:dyDescent="0.25">
      <c r="A108" s="77"/>
      <c r="B108" s="77"/>
      <c r="C108" s="77"/>
      <c r="D108" s="77"/>
      <c r="E108" s="77"/>
      <c r="F108" s="77"/>
      <c r="G108" s="77"/>
      <c r="H108" s="176"/>
      <c r="I108" s="77"/>
      <c r="J108" s="90"/>
      <c r="K108" s="91"/>
      <c r="L108" s="91"/>
      <c r="M108" s="77"/>
      <c r="N108" s="77"/>
      <c r="O108" s="77"/>
      <c r="P108" s="95"/>
      <c r="Q108" s="95"/>
      <c r="R108" s="95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</row>
    <row r="109" spans="1:28" ht="14.4" customHeight="1" x14ac:dyDescent="0.25">
      <c r="A109" s="77"/>
      <c r="B109" s="77"/>
      <c r="C109" s="77"/>
      <c r="D109" s="77"/>
      <c r="E109" s="77"/>
      <c r="F109" s="77"/>
      <c r="G109" s="77"/>
      <c r="H109" s="176"/>
      <c r="I109" s="77"/>
      <c r="J109" s="90"/>
      <c r="K109" s="91"/>
      <c r="L109" s="91"/>
      <c r="M109" s="77"/>
      <c r="N109" s="77"/>
      <c r="O109" s="77"/>
      <c r="P109" s="95"/>
      <c r="Q109" s="95"/>
      <c r="R109" s="95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 spans="1:28" ht="14.4" customHeight="1" x14ac:dyDescent="0.25">
      <c r="A110" s="77"/>
      <c r="B110" s="77"/>
      <c r="C110" s="77"/>
      <c r="D110" s="77"/>
      <c r="E110" s="77"/>
      <c r="F110" s="77"/>
      <c r="G110" s="77"/>
      <c r="H110" s="176"/>
      <c r="I110" s="77"/>
      <c r="J110" s="90"/>
      <c r="K110" s="91"/>
      <c r="L110" s="91"/>
      <c r="M110" s="77"/>
      <c r="N110" s="77"/>
      <c r="O110" s="77"/>
      <c r="P110" s="95"/>
      <c r="Q110" s="95"/>
      <c r="R110" s="95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</row>
    <row r="111" spans="1:28" ht="14.4" customHeight="1" x14ac:dyDescent="0.25">
      <c r="A111" s="77"/>
      <c r="B111" s="77"/>
      <c r="C111" s="77"/>
      <c r="D111" s="77"/>
      <c r="E111" s="77"/>
      <c r="F111" s="77"/>
      <c r="G111" s="77"/>
      <c r="H111" s="176"/>
      <c r="I111" s="77"/>
      <c r="J111" s="90"/>
      <c r="K111" s="91"/>
      <c r="L111" s="91"/>
      <c r="M111" s="77"/>
      <c r="N111" s="77"/>
      <c r="O111" s="77"/>
      <c r="P111" s="95"/>
      <c r="Q111" s="95"/>
      <c r="R111" s="95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</row>
    <row r="112" spans="1:28" ht="14.4" customHeight="1" x14ac:dyDescent="0.25">
      <c r="A112" s="77"/>
      <c r="B112" s="77"/>
      <c r="C112" s="77"/>
      <c r="D112" s="77"/>
      <c r="E112" s="77"/>
      <c r="F112" s="77"/>
      <c r="G112" s="77"/>
      <c r="H112" s="176"/>
      <c r="I112" s="77"/>
      <c r="J112" s="90"/>
      <c r="K112" s="91"/>
      <c r="L112" s="91"/>
      <c r="M112" s="77"/>
      <c r="N112" s="77"/>
      <c r="O112" s="77"/>
      <c r="P112" s="95"/>
      <c r="Q112" s="95"/>
      <c r="R112" s="95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</row>
    <row r="113" spans="1:28" ht="14.4" customHeight="1" x14ac:dyDescent="0.25">
      <c r="A113" s="77"/>
      <c r="B113" s="77"/>
      <c r="C113" s="77"/>
      <c r="D113" s="77"/>
      <c r="E113" s="77"/>
      <c r="F113" s="77"/>
      <c r="G113" s="77"/>
      <c r="H113" s="176"/>
      <c r="I113" s="77"/>
      <c r="J113" s="90"/>
      <c r="K113" s="91"/>
      <c r="L113" s="91"/>
      <c r="M113" s="77"/>
      <c r="N113" s="77"/>
      <c r="O113" s="77"/>
      <c r="P113" s="95"/>
      <c r="Q113" s="95"/>
      <c r="R113" s="95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</row>
    <row r="114" spans="1:28" ht="14.4" customHeight="1" x14ac:dyDescent="0.25">
      <c r="A114" s="77"/>
      <c r="B114" s="77"/>
      <c r="C114" s="77"/>
      <c r="D114" s="77"/>
      <c r="E114" s="77"/>
      <c r="F114" s="77"/>
      <c r="G114" s="77"/>
      <c r="H114" s="176"/>
      <c r="I114" s="77"/>
      <c r="J114" s="90"/>
      <c r="K114" s="91"/>
      <c r="L114" s="91"/>
      <c r="M114" s="77"/>
      <c r="N114" s="77"/>
      <c r="O114" s="77"/>
      <c r="P114" s="95"/>
      <c r="Q114" s="95"/>
      <c r="R114" s="95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</row>
    <row r="115" spans="1:28" ht="14.4" customHeight="1" x14ac:dyDescent="0.25">
      <c r="A115" s="77"/>
      <c r="B115" s="77"/>
      <c r="C115" s="77"/>
      <c r="D115" s="77"/>
      <c r="E115" s="77"/>
      <c r="F115" s="77"/>
      <c r="G115" s="77"/>
      <c r="H115" s="176"/>
      <c r="I115" s="77"/>
      <c r="J115" s="90"/>
      <c r="K115" s="91"/>
      <c r="L115" s="91"/>
      <c r="M115" s="77"/>
      <c r="N115" s="77"/>
      <c r="O115" s="77"/>
      <c r="P115" s="95"/>
      <c r="Q115" s="95"/>
      <c r="R115" s="95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</row>
    <row r="116" spans="1:28" ht="14.4" customHeight="1" x14ac:dyDescent="0.25">
      <c r="A116" s="77"/>
      <c r="B116" s="77"/>
      <c r="C116" s="77"/>
      <c r="D116" s="77"/>
      <c r="E116" s="77"/>
      <c r="F116" s="77"/>
      <c r="G116" s="77"/>
      <c r="H116" s="176"/>
      <c r="I116" s="77"/>
      <c r="J116" s="90"/>
      <c r="K116" s="91"/>
      <c r="L116" s="91"/>
      <c r="M116" s="77"/>
      <c r="N116" s="77"/>
      <c r="O116" s="77"/>
      <c r="P116" s="95"/>
      <c r="Q116" s="95"/>
      <c r="R116" s="95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</row>
    <row r="117" spans="1:28" ht="14.4" customHeight="1" x14ac:dyDescent="0.25">
      <c r="A117" s="77"/>
      <c r="B117" s="77"/>
      <c r="C117" s="77"/>
      <c r="D117" s="77"/>
      <c r="E117" s="77"/>
      <c r="F117" s="77"/>
      <c r="G117" s="77"/>
      <c r="H117" s="176"/>
      <c r="I117" s="77"/>
      <c r="J117" s="90"/>
      <c r="K117" s="91"/>
      <c r="L117" s="91"/>
      <c r="M117" s="77"/>
      <c r="N117" s="77"/>
      <c r="O117" s="77"/>
      <c r="P117" s="95"/>
      <c r="Q117" s="95"/>
      <c r="R117" s="95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</row>
    <row r="118" spans="1:28" ht="14.4" customHeight="1" x14ac:dyDescent="0.25">
      <c r="A118" s="77"/>
      <c r="B118" s="77"/>
      <c r="C118" s="77"/>
      <c r="D118" s="77"/>
      <c r="E118" s="77"/>
      <c r="F118" s="77"/>
      <c r="G118" s="77"/>
      <c r="H118" s="176"/>
      <c r="I118" s="77"/>
      <c r="J118" s="90"/>
      <c r="K118" s="91"/>
      <c r="L118" s="91"/>
      <c r="M118" s="77"/>
      <c r="N118" s="77"/>
      <c r="O118" s="77"/>
      <c r="P118" s="95"/>
      <c r="Q118" s="95"/>
      <c r="R118" s="95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</row>
    <row r="119" spans="1:28" ht="14.4" customHeight="1" x14ac:dyDescent="0.25">
      <c r="A119" s="77"/>
      <c r="B119" s="77"/>
      <c r="C119" s="77"/>
      <c r="D119" s="77"/>
      <c r="E119" s="77"/>
      <c r="F119" s="77"/>
      <c r="G119" s="77"/>
      <c r="H119" s="176"/>
      <c r="I119" s="77"/>
      <c r="J119" s="90"/>
      <c r="K119" s="91"/>
      <c r="L119" s="91"/>
      <c r="M119" s="77"/>
      <c r="N119" s="77"/>
      <c r="O119" s="77"/>
      <c r="P119" s="95"/>
      <c r="Q119" s="95"/>
      <c r="R119" s="95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</row>
    <row r="120" spans="1:28" ht="14.4" customHeight="1" x14ac:dyDescent="0.25">
      <c r="A120" s="77"/>
      <c r="B120" s="77"/>
      <c r="C120" s="77"/>
      <c r="D120" s="77"/>
      <c r="E120" s="77"/>
      <c r="F120" s="77"/>
      <c r="G120" s="77"/>
      <c r="H120" s="176"/>
      <c r="I120" s="77"/>
      <c r="J120" s="90"/>
      <c r="K120" s="91"/>
      <c r="L120" s="91"/>
      <c r="M120" s="77"/>
      <c r="N120" s="77"/>
      <c r="O120" s="77"/>
      <c r="P120" s="95"/>
      <c r="Q120" s="95"/>
      <c r="R120" s="95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</row>
    <row r="121" spans="1:28" ht="14.4" customHeight="1" x14ac:dyDescent="0.25">
      <c r="A121" s="77"/>
      <c r="B121" s="77"/>
      <c r="C121" s="77"/>
      <c r="D121" s="77"/>
      <c r="E121" s="77"/>
      <c r="F121" s="77"/>
      <c r="G121" s="77"/>
      <c r="H121" s="176"/>
      <c r="I121" s="77"/>
      <c r="J121" s="90"/>
      <c r="K121" s="91"/>
      <c r="L121" s="91"/>
      <c r="M121" s="77"/>
      <c r="N121" s="77"/>
      <c r="O121" s="77"/>
      <c r="P121" s="95"/>
      <c r="Q121" s="95"/>
      <c r="R121" s="95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</row>
    <row r="122" spans="1:28" ht="14.4" customHeight="1" x14ac:dyDescent="0.25">
      <c r="A122" s="77"/>
      <c r="B122" s="77"/>
      <c r="C122" s="77"/>
      <c r="D122" s="77"/>
      <c r="E122" s="77"/>
      <c r="F122" s="77"/>
      <c r="G122" s="77"/>
      <c r="H122" s="176"/>
      <c r="I122" s="77"/>
      <c r="J122" s="90"/>
      <c r="K122" s="91"/>
      <c r="L122" s="91"/>
      <c r="M122" s="77"/>
      <c r="N122" s="77"/>
      <c r="O122" s="77"/>
      <c r="P122" s="95"/>
      <c r="Q122" s="95"/>
      <c r="R122" s="95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</row>
    <row r="123" spans="1:28" ht="14.4" customHeight="1" x14ac:dyDescent="0.25">
      <c r="A123" s="77"/>
      <c r="B123" s="77"/>
      <c r="C123" s="77"/>
      <c r="D123" s="77"/>
      <c r="E123" s="77"/>
      <c r="F123" s="77"/>
      <c r="G123" s="77"/>
      <c r="H123" s="176"/>
      <c r="I123" s="77"/>
      <c r="J123" s="90"/>
      <c r="K123" s="91"/>
      <c r="L123" s="91"/>
      <c r="M123" s="77"/>
      <c r="N123" s="77"/>
      <c r="O123" s="77"/>
      <c r="P123" s="95"/>
      <c r="Q123" s="95"/>
      <c r="R123" s="95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</row>
    <row r="124" spans="1:28" ht="14.4" customHeight="1" x14ac:dyDescent="0.25">
      <c r="A124" s="77"/>
      <c r="B124" s="77"/>
      <c r="C124" s="77"/>
      <c r="D124" s="77"/>
      <c r="E124" s="77"/>
      <c r="F124" s="77"/>
      <c r="G124" s="77"/>
      <c r="H124" s="176"/>
      <c r="I124" s="77"/>
      <c r="J124" s="90"/>
      <c r="K124" s="91"/>
      <c r="L124" s="91"/>
      <c r="M124" s="77"/>
      <c r="N124" s="77"/>
      <c r="O124" s="77"/>
      <c r="P124" s="95"/>
      <c r="Q124" s="95"/>
      <c r="R124" s="95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 spans="1:28" ht="14.4" customHeight="1" x14ac:dyDescent="0.25">
      <c r="A125" s="77"/>
      <c r="B125" s="77"/>
      <c r="C125" s="77"/>
      <c r="D125" s="77"/>
      <c r="E125" s="77"/>
      <c r="F125" s="77"/>
      <c r="G125" s="77"/>
      <c r="H125" s="176"/>
      <c r="I125" s="77"/>
      <c r="J125" s="90"/>
      <c r="K125" s="91"/>
      <c r="L125" s="91"/>
      <c r="M125" s="77"/>
      <c r="N125" s="77"/>
      <c r="O125" s="77"/>
      <c r="P125" s="95"/>
      <c r="Q125" s="95"/>
      <c r="R125" s="95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</row>
    <row r="126" spans="1:28" ht="14.4" customHeight="1" x14ac:dyDescent="0.25">
      <c r="A126" s="77"/>
      <c r="B126" s="77"/>
      <c r="C126" s="77"/>
      <c r="D126" s="77"/>
      <c r="E126" s="77"/>
      <c r="F126" s="77"/>
      <c r="G126" s="77"/>
      <c r="H126" s="176"/>
      <c r="I126" s="77"/>
      <c r="J126" s="90"/>
      <c r="K126" s="91"/>
      <c r="L126" s="91"/>
      <c r="M126" s="77"/>
      <c r="N126" s="77"/>
      <c r="O126" s="77"/>
      <c r="P126" s="95"/>
      <c r="Q126" s="95"/>
      <c r="R126" s="95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</row>
    <row r="127" spans="1:28" ht="14.4" customHeight="1" x14ac:dyDescent="0.25">
      <c r="A127" s="77"/>
      <c r="B127" s="77"/>
      <c r="C127" s="77"/>
      <c r="D127" s="77"/>
      <c r="E127" s="77"/>
      <c r="F127" s="77"/>
      <c r="G127" s="77"/>
      <c r="H127" s="176"/>
      <c r="I127" s="77"/>
      <c r="J127" s="90"/>
      <c r="K127" s="91"/>
      <c r="L127" s="91"/>
      <c r="M127" s="77"/>
      <c r="N127" s="77"/>
      <c r="O127" s="77"/>
      <c r="P127" s="95"/>
      <c r="Q127" s="95"/>
      <c r="R127" s="95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</row>
    <row r="128" spans="1:28" ht="14.4" customHeight="1" x14ac:dyDescent="0.25">
      <c r="A128" s="77"/>
      <c r="B128" s="77"/>
      <c r="C128" s="77"/>
      <c r="D128" s="77"/>
      <c r="E128" s="77"/>
      <c r="F128" s="77"/>
      <c r="G128" s="77"/>
      <c r="H128" s="176"/>
      <c r="I128" s="77"/>
      <c r="J128" s="90"/>
      <c r="K128" s="91"/>
      <c r="L128" s="91"/>
      <c r="M128" s="77"/>
      <c r="N128" s="77"/>
      <c r="O128" s="77"/>
      <c r="P128" s="95"/>
      <c r="Q128" s="95"/>
      <c r="R128" s="95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</row>
    <row r="129" spans="1:28" ht="14.4" customHeight="1" x14ac:dyDescent="0.25">
      <c r="A129" s="77"/>
      <c r="B129" s="77"/>
      <c r="C129" s="77"/>
      <c r="D129" s="77"/>
      <c r="E129" s="77"/>
      <c r="F129" s="77"/>
      <c r="G129" s="77"/>
      <c r="H129" s="176"/>
      <c r="I129" s="77"/>
      <c r="J129" s="90"/>
      <c r="K129" s="91"/>
      <c r="L129" s="91"/>
      <c r="M129" s="77"/>
      <c r="N129" s="77"/>
      <c r="O129" s="77"/>
      <c r="P129" s="95"/>
      <c r="Q129" s="95"/>
      <c r="R129" s="95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</row>
    <row r="130" spans="1:28" ht="14.4" customHeight="1" x14ac:dyDescent="0.25">
      <c r="A130" s="77"/>
      <c r="B130" s="77"/>
      <c r="C130" s="77"/>
      <c r="D130" s="77"/>
      <c r="E130" s="77"/>
      <c r="F130" s="77"/>
      <c r="G130" s="77"/>
      <c r="H130" s="176"/>
      <c r="I130" s="77"/>
      <c r="J130" s="90"/>
      <c r="K130" s="91"/>
      <c r="L130" s="91"/>
      <c r="M130" s="77"/>
      <c r="N130" s="77"/>
      <c r="O130" s="77"/>
      <c r="P130" s="95"/>
      <c r="Q130" s="95"/>
      <c r="R130" s="95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</row>
    <row r="131" spans="1:28" ht="14.4" customHeight="1" x14ac:dyDescent="0.25">
      <c r="A131" s="77"/>
      <c r="B131" s="77"/>
      <c r="C131" s="77"/>
      <c r="D131" s="77"/>
      <c r="E131" s="77"/>
      <c r="F131" s="77"/>
      <c r="G131" s="77"/>
      <c r="H131" s="176"/>
      <c r="I131" s="77"/>
      <c r="J131" s="90"/>
      <c r="K131" s="91"/>
      <c r="L131" s="91"/>
      <c r="M131" s="77"/>
      <c r="N131" s="77"/>
      <c r="O131" s="77"/>
      <c r="P131" s="95"/>
      <c r="Q131" s="95"/>
      <c r="R131" s="95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</row>
    <row r="132" spans="1:28" ht="14.4" customHeight="1" x14ac:dyDescent="0.25">
      <c r="A132" s="77"/>
      <c r="B132" s="77"/>
      <c r="C132" s="77"/>
      <c r="D132" s="77"/>
      <c r="E132" s="77"/>
      <c r="F132" s="77"/>
      <c r="G132" s="77"/>
      <c r="H132" s="176"/>
      <c r="I132" s="77"/>
      <c r="J132" s="90"/>
      <c r="K132" s="91"/>
      <c r="L132" s="91"/>
      <c r="M132" s="77"/>
      <c r="N132" s="77"/>
      <c r="O132" s="77"/>
      <c r="P132" s="95"/>
      <c r="Q132" s="95"/>
      <c r="R132" s="95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</row>
    <row r="133" spans="1:28" ht="14.4" customHeight="1" x14ac:dyDescent="0.25">
      <c r="A133" s="77"/>
      <c r="B133" s="77"/>
      <c r="C133" s="77"/>
      <c r="D133" s="77"/>
      <c r="E133" s="77"/>
      <c r="F133" s="77"/>
      <c r="G133" s="77"/>
      <c r="H133" s="176"/>
      <c r="I133" s="77"/>
      <c r="J133" s="90"/>
      <c r="K133" s="91"/>
      <c r="L133" s="91"/>
      <c r="M133" s="77"/>
      <c r="N133" s="77"/>
      <c r="O133" s="77"/>
      <c r="P133" s="95"/>
      <c r="Q133" s="95"/>
      <c r="R133" s="95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</row>
    <row r="134" spans="1:28" ht="14.4" customHeight="1" x14ac:dyDescent="0.25">
      <c r="A134" s="77"/>
      <c r="B134" s="77"/>
      <c r="C134" s="77"/>
      <c r="D134" s="77"/>
      <c r="E134" s="77"/>
      <c r="F134" s="77"/>
      <c r="G134" s="77"/>
      <c r="H134" s="176"/>
      <c r="I134" s="77"/>
      <c r="J134" s="90"/>
      <c r="K134" s="91"/>
      <c r="L134" s="91"/>
      <c r="M134" s="77"/>
      <c r="N134" s="77"/>
      <c r="O134" s="77"/>
      <c r="P134" s="95"/>
      <c r="Q134" s="95"/>
      <c r="R134" s="95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</row>
    <row r="135" spans="1:28" ht="14.4" customHeight="1" x14ac:dyDescent="0.25">
      <c r="A135" s="77"/>
      <c r="B135" s="77"/>
      <c r="C135" s="77"/>
      <c r="D135" s="77"/>
      <c r="E135" s="77"/>
      <c r="F135" s="77"/>
      <c r="G135" s="77"/>
      <c r="H135" s="176"/>
      <c r="I135" s="77"/>
      <c r="J135" s="90"/>
      <c r="K135" s="91"/>
      <c r="L135" s="91"/>
      <c r="M135" s="77"/>
      <c r="N135" s="77"/>
      <c r="O135" s="77"/>
      <c r="P135" s="95"/>
      <c r="Q135" s="95"/>
      <c r="R135" s="95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</row>
    <row r="136" spans="1:28" ht="14.4" customHeight="1" x14ac:dyDescent="0.25">
      <c r="A136" s="77"/>
      <c r="B136" s="77"/>
      <c r="C136" s="77"/>
      <c r="D136" s="77"/>
      <c r="E136" s="77"/>
      <c r="F136" s="77"/>
      <c r="G136" s="77"/>
      <c r="H136" s="176"/>
      <c r="I136" s="77"/>
      <c r="J136" s="90"/>
      <c r="K136" s="91"/>
      <c r="L136" s="91"/>
      <c r="M136" s="77"/>
      <c r="N136" s="77"/>
      <c r="O136" s="77"/>
      <c r="P136" s="95"/>
      <c r="Q136" s="95"/>
      <c r="R136" s="95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</row>
    <row r="137" spans="1:28" ht="14.4" customHeight="1" x14ac:dyDescent="0.25">
      <c r="A137" s="77"/>
      <c r="B137" s="77"/>
      <c r="C137" s="77"/>
      <c r="D137" s="77"/>
      <c r="E137" s="77"/>
      <c r="F137" s="77"/>
      <c r="G137" s="77"/>
      <c r="H137" s="176"/>
      <c r="I137" s="77"/>
      <c r="J137" s="90"/>
      <c r="K137" s="91"/>
      <c r="L137" s="91"/>
      <c r="M137" s="77"/>
      <c r="N137" s="77"/>
      <c r="O137" s="77"/>
      <c r="P137" s="95"/>
      <c r="Q137" s="95"/>
      <c r="R137" s="95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</row>
    <row r="138" spans="1:28" ht="14.4" customHeight="1" x14ac:dyDescent="0.25">
      <c r="A138" s="77"/>
      <c r="B138" s="77"/>
      <c r="C138" s="77"/>
      <c r="D138" s="77"/>
      <c r="E138" s="77"/>
      <c r="F138" s="77"/>
      <c r="G138" s="77"/>
      <c r="H138" s="176"/>
      <c r="I138" s="77"/>
      <c r="J138" s="90"/>
      <c r="K138" s="91"/>
      <c r="L138" s="91"/>
      <c r="M138" s="77"/>
      <c r="N138" s="77"/>
      <c r="O138" s="77"/>
      <c r="P138" s="95"/>
      <c r="Q138" s="95"/>
      <c r="R138" s="95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</row>
    <row r="139" spans="1:28" ht="14.4" customHeight="1" x14ac:dyDescent="0.25">
      <c r="A139" s="77"/>
      <c r="B139" s="77"/>
      <c r="C139" s="77"/>
      <c r="D139" s="77"/>
      <c r="E139" s="77"/>
      <c r="F139" s="77"/>
      <c r="G139" s="77"/>
      <c r="H139" s="176"/>
      <c r="I139" s="77"/>
      <c r="J139" s="90"/>
      <c r="K139" s="91"/>
      <c r="L139" s="91"/>
      <c r="M139" s="77"/>
      <c r="N139" s="77"/>
      <c r="O139" s="77"/>
      <c r="P139" s="95"/>
      <c r="Q139" s="95"/>
      <c r="R139" s="95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 spans="1:28" ht="14.4" customHeight="1" x14ac:dyDescent="0.25">
      <c r="A140" s="77"/>
      <c r="B140" s="77"/>
      <c r="C140" s="77"/>
      <c r="D140" s="77"/>
      <c r="E140" s="77"/>
      <c r="F140" s="77"/>
      <c r="G140" s="77"/>
      <c r="H140" s="176"/>
      <c r="I140" s="77"/>
      <c r="J140" s="90"/>
      <c r="K140" s="91"/>
      <c r="L140" s="91"/>
      <c r="M140" s="77"/>
      <c r="N140" s="77"/>
      <c r="O140" s="77"/>
      <c r="P140" s="95"/>
      <c r="Q140" s="95"/>
      <c r="R140" s="95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</row>
    <row r="141" spans="1:28" ht="14.4" customHeight="1" x14ac:dyDescent="0.25">
      <c r="A141" s="77"/>
      <c r="B141" s="77"/>
      <c r="C141" s="77"/>
      <c r="D141" s="77"/>
      <c r="E141" s="77"/>
      <c r="F141" s="77"/>
      <c r="G141" s="77"/>
      <c r="H141" s="176"/>
      <c r="I141" s="77"/>
      <c r="J141" s="90"/>
      <c r="K141" s="91"/>
      <c r="L141" s="91"/>
      <c r="M141" s="77"/>
      <c r="N141" s="77"/>
      <c r="O141" s="77"/>
      <c r="P141" s="95"/>
      <c r="Q141" s="95"/>
      <c r="R141" s="95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</row>
    <row r="142" spans="1:28" ht="14.4" customHeight="1" x14ac:dyDescent="0.25">
      <c r="A142" s="77"/>
      <c r="B142" s="77"/>
      <c r="C142" s="77"/>
      <c r="D142" s="77"/>
      <c r="E142" s="77"/>
      <c r="F142" s="77"/>
      <c r="G142" s="77"/>
      <c r="H142" s="176"/>
      <c r="I142" s="77"/>
      <c r="J142" s="90"/>
      <c r="K142" s="91"/>
      <c r="L142" s="91"/>
      <c r="M142" s="77"/>
      <c r="N142" s="77"/>
      <c r="O142" s="77"/>
      <c r="P142" s="95"/>
      <c r="Q142" s="95"/>
      <c r="R142" s="95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</row>
    <row r="143" spans="1:28" ht="14.4" customHeight="1" x14ac:dyDescent="0.25">
      <c r="A143" s="77"/>
      <c r="B143" s="77"/>
      <c r="C143" s="77"/>
      <c r="D143" s="77"/>
      <c r="E143" s="77"/>
      <c r="F143" s="77"/>
      <c r="G143" s="77"/>
      <c r="H143" s="176"/>
      <c r="I143" s="77"/>
      <c r="J143" s="90"/>
      <c r="K143" s="91"/>
      <c r="L143" s="91"/>
      <c r="M143" s="77"/>
      <c r="N143" s="77"/>
      <c r="O143" s="77"/>
      <c r="P143" s="95"/>
      <c r="Q143" s="95"/>
      <c r="R143" s="95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</row>
    <row r="144" spans="1:28" ht="14.4" customHeight="1" x14ac:dyDescent="0.25">
      <c r="A144" s="77"/>
      <c r="B144" s="77"/>
      <c r="C144" s="77"/>
      <c r="D144" s="77"/>
      <c r="E144" s="77"/>
      <c r="F144" s="77"/>
      <c r="G144" s="77"/>
      <c r="H144" s="176"/>
      <c r="I144" s="77"/>
      <c r="J144" s="90"/>
      <c r="K144" s="91"/>
      <c r="L144" s="91"/>
      <c r="M144" s="77"/>
      <c r="N144" s="77"/>
      <c r="O144" s="77"/>
      <c r="P144" s="95"/>
      <c r="Q144" s="95"/>
      <c r="R144" s="95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</row>
    <row r="145" spans="1:28" ht="14.4" customHeight="1" x14ac:dyDescent="0.25">
      <c r="A145" s="77"/>
      <c r="B145" s="77"/>
      <c r="C145" s="77"/>
      <c r="D145" s="77"/>
      <c r="E145" s="77"/>
      <c r="F145" s="77"/>
      <c r="G145" s="77"/>
      <c r="H145" s="176"/>
      <c r="I145" s="77"/>
      <c r="J145" s="90"/>
      <c r="K145" s="91"/>
      <c r="L145" s="91"/>
      <c r="M145" s="77"/>
      <c r="N145" s="77"/>
      <c r="O145" s="77"/>
      <c r="P145" s="95"/>
      <c r="Q145" s="95"/>
      <c r="R145" s="95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</row>
    <row r="146" spans="1:28" ht="14.4" customHeight="1" x14ac:dyDescent="0.25">
      <c r="A146" s="77"/>
      <c r="B146" s="77"/>
      <c r="C146" s="77"/>
      <c r="D146" s="77"/>
      <c r="E146" s="77"/>
      <c r="F146" s="77"/>
      <c r="G146" s="77"/>
      <c r="H146" s="176"/>
      <c r="I146" s="77"/>
      <c r="J146" s="90"/>
      <c r="K146" s="91"/>
      <c r="L146" s="91"/>
      <c r="M146" s="77"/>
      <c r="N146" s="77"/>
      <c r="O146" s="77"/>
      <c r="P146" s="95"/>
      <c r="Q146" s="95"/>
      <c r="R146" s="95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</row>
    <row r="147" spans="1:28" ht="14.4" customHeight="1" x14ac:dyDescent="0.25">
      <c r="A147" s="77"/>
      <c r="B147" s="77"/>
      <c r="C147" s="77"/>
      <c r="D147" s="77"/>
      <c r="E147" s="77"/>
      <c r="F147" s="77"/>
      <c r="G147" s="77"/>
      <c r="H147" s="176"/>
      <c r="I147" s="77"/>
      <c r="J147" s="90"/>
      <c r="K147" s="91"/>
      <c r="L147" s="91"/>
      <c r="M147" s="77"/>
      <c r="N147" s="77"/>
      <c r="O147" s="77"/>
      <c r="P147" s="95"/>
      <c r="Q147" s="95"/>
      <c r="R147" s="95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</row>
    <row r="148" spans="1:28" ht="14.4" customHeight="1" x14ac:dyDescent="0.25">
      <c r="A148" s="77"/>
      <c r="B148" s="77"/>
      <c r="C148" s="77"/>
      <c r="D148" s="77"/>
      <c r="E148" s="77"/>
      <c r="F148" s="77"/>
      <c r="G148" s="77"/>
      <c r="H148" s="176"/>
      <c r="I148" s="77"/>
      <c r="J148" s="90"/>
      <c r="K148" s="91"/>
      <c r="L148" s="91"/>
      <c r="M148" s="77"/>
      <c r="N148" s="77"/>
      <c r="O148" s="77"/>
      <c r="P148" s="95"/>
      <c r="Q148" s="95"/>
      <c r="R148" s="95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</row>
    <row r="149" spans="1:28" ht="14.4" customHeight="1" x14ac:dyDescent="0.25">
      <c r="A149" s="77"/>
      <c r="B149" s="77"/>
      <c r="C149" s="77"/>
      <c r="D149" s="77"/>
      <c r="E149" s="77"/>
      <c r="F149" s="77"/>
      <c r="G149" s="77"/>
      <c r="H149" s="176"/>
      <c r="I149" s="77"/>
      <c r="J149" s="90"/>
      <c r="K149" s="91"/>
      <c r="L149" s="91"/>
      <c r="M149" s="77"/>
      <c r="N149" s="77"/>
      <c r="O149" s="77"/>
      <c r="P149" s="95"/>
      <c r="Q149" s="95"/>
      <c r="R149" s="95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</row>
    <row r="150" spans="1:28" ht="14.4" customHeight="1" x14ac:dyDescent="0.25">
      <c r="A150" s="77"/>
      <c r="B150" s="77"/>
      <c r="C150" s="77"/>
      <c r="D150" s="77"/>
      <c r="E150" s="77"/>
      <c r="F150" s="77"/>
      <c r="G150" s="77"/>
      <c r="H150" s="176"/>
      <c r="I150" s="77"/>
      <c r="J150" s="90"/>
      <c r="K150" s="91"/>
      <c r="L150" s="91"/>
      <c r="M150" s="77"/>
      <c r="N150" s="77"/>
      <c r="O150" s="77"/>
      <c r="P150" s="95"/>
      <c r="Q150" s="95"/>
      <c r="R150" s="95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</row>
    <row r="151" spans="1:28" ht="14.4" customHeight="1" x14ac:dyDescent="0.25">
      <c r="A151" s="77"/>
      <c r="B151" s="77"/>
      <c r="C151" s="77"/>
      <c r="D151" s="77"/>
      <c r="E151" s="77"/>
      <c r="F151" s="77"/>
      <c r="G151" s="77"/>
      <c r="H151" s="176"/>
      <c r="I151" s="77"/>
      <c r="J151" s="90"/>
      <c r="K151" s="91"/>
      <c r="L151" s="91"/>
      <c r="M151" s="77"/>
      <c r="N151" s="77"/>
      <c r="O151" s="77"/>
      <c r="P151" s="95"/>
      <c r="Q151" s="95"/>
      <c r="R151" s="95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</row>
    <row r="152" spans="1:28" ht="14.4" customHeight="1" x14ac:dyDescent="0.25">
      <c r="A152" s="77"/>
      <c r="B152" s="77"/>
      <c r="C152" s="77"/>
      <c r="D152" s="77"/>
      <c r="E152" s="77"/>
      <c r="F152" s="77"/>
      <c r="G152" s="77"/>
      <c r="H152" s="176"/>
      <c r="I152" s="77"/>
      <c r="J152" s="90"/>
      <c r="K152" s="91"/>
      <c r="L152" s="91"/>
      <c r="M152" s="77"/>
      <c r="N152" s="77"/>
      <c r="O152" s="77"/>
      <c r="P152" s="95"/>
      <c r="Q152" s="95"/>
      <c r="R152" s="95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</row>
    <row r="153" spans="1:28" ht="14.4" customHeight="1" x14ac:dyDescent="0.25">
      <c r="A153" s="77"/>
      <c r="B153" s="77"/>
      <c r="C153" s="77"/>
      <c r="D153" s="77"/>
      <c r="E153" s="77"/>
      <c r="F153" s="77"/>
      <c r="G153" s="77"/>
      <c r="H153" s="176"/>
      <c r="I153" s="77"/>
      <c r="J153" s="90"/>
      <c r="K153" s="91"/>
      <c r="L153" s="91"/>
      <c r="M153" s="77"/>
      <c r="N153" s="77"/>
      <c r="O153" s="77"/>
      <c r="P153" s="95"/>
      <c r="Q153" s="95"/>
      <c r="R153" s="95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</row>
    <row r="154" spans="1:28" ht="14.4" customHeight="1" x14ac:dyDescent="0.25">
      <c r="A154" s="77"/>
      <c r="B154" s="77"/>
      <c r="C154" s="77"/>
      <c r="D154" s="77"/>
      <c r="E154" s="77"/>
      <c r="F154" s="77"/>
      <c r="G154" s="77"/>
      <c r="H154" s="176"/>
      <c r="I154" s="77"/>
      <c r="J154" s="90"/>
      <c r="K154" s="91"/>
      <c r="L154" s="91"/>
      <c r="M154" s="77"/>
      <c r="N154" s="77"/>
      <c r="O154" s="77"/>
      <c r="P154" s="95"/>
      <c r="Q154" s="95"/>
      <c r="R154" s="95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 spans="1:28" ht="14.4" customHeight="1" x14ac:dyDescent="0.25">
      <c r="A155" s="77"/>
      <c r="B155" s="77"/>
      <c r="C155" s="77"/>
      <c r="D155" s="77"/>
      <c r="E155" s="77"/>
      <c r="F155" s="77"/>
      <c r="G155" s="77"/>
      <c r="H155" s="176"/>
      <c r="I155" s="77"/>
      <c r="J155" s="90"/>
      <c r="K155" s="91"/>
      <c r="L155" s="91"/>
      <c r="M155" s="77"/>
      <c r="N155" s="77"/>
      <c r="O155" s="77"/>
      <c r="P155" s="95"/>
      <c r="Q155" s="95"/>
      <c r="R155" s="95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</row>
    <row r="156" spans="1:28" ht="14.4" customHeight="1" x14ac:dyDescent="0.25">
      <c r="A156" s="77"/>
      <c r="B156" s="77"/>
      <c r="C156" s="77"/>
      <c r="D156" s="77"/>
      <c r="E156" s="77"/>
      <c r="F156" s="77"/>
      <c r="G156" s="77"/>
      <c r="H156" s="176"/>
      <c r="I156" s="77"/>
      <c r="J156" s="90"/>
      <c r="K156" s="91"/>
      <c r="L156" s="91"/>
      <c r="M156" s="77"/>
      <c r="N156" s="77"/>
      <c r="O156" s="77"/>
      <c r="P156" s="95"/>
      <c r="Q156" s="95"/>
      <c r="R156" s="95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</row>
    <row r="157" spans="1:28" ht="14.4" customHeight="1" x14ac:dyDescent="0.25">
      <c r="A157" s="77"/>
      <c r="B157" s="77"/>
      <c r="C157" s="77"/>
      <c r="D157" s="77"/>
      <c r="E157" s="77"/>
      <c r="F157" s="77"/>
      <c r="G157" s="77"/>
      <c r="H157" s="176"/>
      <c r="I157" s="77"/>
      <c r="J157" s="90"/>
      <c r="K157" s="91"/>
      <c r="L157" s="91"/>
      <c r="M157" s="77"/>
      <c r="N157" s="77"/>
      <c r="O157" s="77"/>
      <c r="P157" s="95"/>
      <c r="Q157" s="95"/>
      <c r="R157" s="95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</row>
    <row r="158" spans="1:28" ht="14.4" customHeight="1" x14ac:dyDescent="0.25">
      <c r="A158" s="77"/>
      <c r="B158" s="77"/>
      <c r="C158" s="77"/>
      <c r="D158" s="77"/>
      <c r="E158" s="77"/>
      <c r="F158" s="77"/>
      <c r="G158" s="77"/>
      <c r="H158" s="176"/>
      <c r="I158" s="77"/>
      <c r="J158" s="90"/>
      <c r="K158" s="91"/>
      <c r="L158" s="91"/>
      <c r="M158" s="77"/>
      <c r="N158" s="77"/>
      <c r="O158" s="77"/>
      <c r="P158" s="95"/>
      <c r="Q158" s="95"/>
      <c r="R158" s="95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</row>
    <row r="159" spans="1:28" ht="14.4" customHeight="1" x14ac:dyDescent="0.25">
      <c r="A159" s="77"/>
      <c r="B159" s="77"/>
      <c r="C159" s="77"/>
      <c r="D159" s="77"/>
      <c r="E159" s="77"/>
      <c r="F159" s="77"/>
      <c r="G159" s="77"/>
      <c r="H159" s="176"/>
      <c r="I159" s="77"/>
      <c r="J159" s="90"/>
      <c r="K159" s="91"/>
      <c r="L159" s="91"/>
      <c r="M159" s="77"/>
      <c r="N159" s="77"/>
      <c r="O159" s="77"/>
      <c r="P159" s="95"/>
      <c r="Q159" s="95"/>
      <c r="R159" s="95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</row>
    <row r="160" spans="1:28" ht="14.4" customHeight="1" x14ac:dyDescent="0.25">
      <c r="A160" s="77"/>
      <c r="B160" s="77"/>
      <c r="C160" s="77"/>
      <c r="D160" s="77"/>
      <c r="E160" s="77"/>
      <c r="F160" s="77"/>
      <c r="G160" s="77"/>
      <c r="H160" s="176"/>
      <c r="I160" s="77"/>
      <c r="J160" s="90"/>
      <c r="K160" s="91"/>
      <c r="L160" s="91"/>
      <c r="M160" s="77"/>
      <c r="N160" s="77"/>
      <c r="O160" s="77"/>
      <c r="P160" s="95"/>
      <c r="Q160" s="95"/>
      <c r="R160" s="95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</row>
    <row r="161" spans="1:28" ht="14.4" customHeight="1" x14ac:dyDescent="0.25">
      <c r="A161" s="77"/>
      <c r="B161" s="77"/>
      <c r="C161" s="77"/>
      <c r="D161" s="77"/>
      <c r="E161" s="77"/>
      <c r="F161" s="77"/>
      <c r="G161" s="77"/>
      <c r="H161" s="176"/>
      <c r="I161" s="77"/>
      <c r="J161" s="90"/>
      <c r="K161" s="91"/>
      <c r="L161" s="91"/>
      <c r="M161" s="77"/>
      <c r="N161" s="77"/>
      <c r="O161" s="77"/>
      <c r="P161" s="95"/>
      <c r="Q161" s="95"/>
      <c r="R161" s="95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</row>
    <row r="162" spans="1:28" ht="14.4" customHeight="1" x14ac:dyDescent="0.25">
      <c r="A162" s="77"/>
      <c r="B162" s="77"/>
      <c r="C162" s="77"/>
      <c r="D162" s="77"/>
      <c r="E162" s="77"/>
      <c r="F162" s="77"/>
      <c r="G162" s="77"/>
      <c r="H162" s="176"/>
      <c r="I162" s="77"/>
      <c r="J162" s="90"/>
      <c r="K162" s="91"/>
      <c r="L162" s="91"/>
      <c r="M162" s="77"/>
      <c r="N162" s="77"/>
      <c r="O162" s="77"/>
      <c r="P162" s="95"/>
      <c r="Q162" s="95"/>
      <c r="R162" s="95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</row>
    <row r="163" spans="1:28" ht="14.4" customHeight="1" x14ac:dyDescent="0.25">
      <c r="A163" s="77"/>
      <c r="B163" s="77"/>
      <c r="C163" s="77"/>
      <c r="D163" s="77"/>
      <c r="E163" s="77"/>
      <c r="F163" s="77"/>
      <c r="G163" s="77"/>
      <c r="H163" s="176"/>
      <c r="I163" s="77"/>
      <c r="J163" s="90"/>
      <c r="K163" s="91"/>
      <c r="L163" s="91"/>
      <c r="M163" s="77"/>
      <c r="N163" s="77"/>
      <c r="O163" s="77"/>
      <c r="P163" s="95"/>
      <c r="Q163" s="95"/>
      <c r="R163" s="95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</row>
    <row r="164" spans="1:28" ht="14.4" customHeight="1" x14ac:dyDescent="0.25">
      <c r="A164" s="77"/>
      <c r="B164" s="77"/>
      <c r="C164" s="77"/>
      <c r="D164" s="77"/>
      <c r="E164" s="77"/>
      <c r="F164" s="77"/>
      <c r="G164" s="77"/>
      <c r="H164" s="176"/>
      <c r="I164" s="77"/>
      <c r="J164" s="90"/>
      <c r="K164" s="91"/>
      <c r="L164" s="91"/>
      <c r="M164" s="77"/>
      <c r="N164" s="77"/>
      <c r="O164" s="77"/>
      <c r="P164" s="95"/>
      <c r="Q164" s="95"/>
      <c r="R164" s="95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</row>
    <row r="165" spans="1:28" ht="14.4" customHeight="1" x14ac:dyDescent="0.25">
      <c r="A165" s="77"/>
      <c r="B165" s="77"/>
      <c r="C165" s="77"/>
      <c r="D165" s="77"/>
      <c r="E165" s="77"/>
      <c r="F165" s="77"/>
      <c r="G165" s="77"/>
      <c r="H165" s="176"/>
      <c r="I165" s="77"/>
      <c r="J165" s="90"/>
      <c r="K165" s="91"/>
      <c r="L165" s="91"/>
      <c r="M165" s="77"/>
      <c r="N165" s="77"/>
      <c r="O165" s="77"/>
      <c r="P165" s="95"/>
      <c r="Q165" s="95"/>
      <c r="R165" s="95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</row>
    <row r="166" spans="1:28" ht="14.4" customHeight="1" x14ac:dyDescent="0.25">
      <c r="A166" s="77"/>
      <c r="B166" s="77"/>
      <c r="C166" s="77"/>
      <c r="D166" s="77"/>
      <c r="E166" s="77"/>
      <c r="F166" s="77"/>
      <c r="G166" s="77"/>
      <c r="H166" s="176"/>
      <c r="I166" s="77"/>
      <c r="J166" s="90"/>
      <c r="K166" s="91"/>
      <c r="L166" s="91"/>
      <c r="M166" s="77"/>
      <c r="N166" s="77"/>
      <c r="O166" s="77"/>
      <c r="P166" s="95"/>
      <c r="Q166" s="95"/>
      <c r="R166" s="95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</row>
    <row r="167" spans="1:28" ht="14.4" customHeight="1" x14ac:dyDescent="0.25">
      <c r="A167" s="77"/>
      <c r="B167" s="77"/>
      <c r="C167" s="77"/>
      <c r="D167" s="77"/>
      <c r="E167" s="77"/>
      <c r="F167" s="77"/>
      <c r="G167" s="77"/>
      <c r="H167" s="176"/>
      <c r="I167" s="77"/>
      <c r="J167" s="90"/>
      <c r="K167" s="91"/>
      <c r="L167" s="91"/>
      <c r="M167" s="77"/>
      <c r="N167" s="77"/>
      <c r="O167" s="77"/>
      <c r="P167" s="95"/>
      <c r="Q167" s="95"/>
      <c r="R167" s="95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</row>
    <row r="168" spans="1:28" ht="14.4" customHeight="1" x14ac:dyDescent="0.25">
      <c r="A168" s="77"/>
      <c r="B168" s="77"/>
      <c r="C168" s="77"/>
      <c r="D168" s="77"/>
      <c r="E168" s="77"/>
      <c r="F168" s="77"/>
      <c r="G168" s="77"/>
      <c r="H168" s="176"/>
      <c r="I168" s="77"/>
      <c r="J168" s="90"/>
      <c r="K168" s="91"/>
      <c r="L168" s="91"/>
      <c r="M168" s="77"/>
      <c r="N168" s="77"/>
      <c r="O168" s="77"/>
      <c r="P168" s="95"/>
      <c r="Q168" s="95"/>
      <c r="R168" s="95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</row>
    <row r="169" spans="1:28" ht="14.4" customHeight="1" x14ac:dyDescent="0.25">
      <c r="A169" s="77"/>
      <c r="B169" s="77"/>
      <c r="C169" s="77"/>
      <c r="D169" s="77"/>
      <c r="E169" s="77"/>
      <c r="F169" s="77"/>
      <c r="G169" s="77"/>
      <c r="H169" s="176"/>
      <c r="I169" s="77"/>
      <c r="J169" s="90"/>
      <c r="K169" s="91"/>
      <c r="L169" s="91"/>
      <c r="M169" s="77"/>
      <c r="N169" s="77"/>
      <c r="O169" s="77"/>
      <c r="P169" s="95"/>
      <c r="Q169" s="95"/>
      <c r="R169" s="95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 spans="1:28" ht="14.4" customHeight="1" x14ac:dyDescent="0.25">
      <c r="A170" s="77"/>
      <c r="B170" s="77"/>
      <c r="C170" s="77"/>
      <c r="D170" s="77"/>
      <c r="E170" s="77"/>
      <c r="F170" s="77"/>
      <c r="G170" s="77"/>
      <c r="H170" s="176"/>
      <c r="I170" s="77"/>
      <c r="J170" s="90"/>
      <c r="K170" s="91"/>
      <c r="L170" s="91"/>
      <c r="M170" s="77"/>
      <c r="N170" s="77"/>
      <c r="O170" s="77"/>
      <c r="P170" s="95"/>
      <c r="Q170" s="95"/>
      <c r="R170" s="95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</row>
    <row r="171" spans="1:28" ht="14.4" customHeight="1" x14ac:dyDescent="0.25">
      <c r="A171" s="77"/>
      <c r="B171" s="77"/>
      <c r="C171" s="77"/>
      <c r="D171" s="77"/>
      <c r="E171" s="77"/>
      <c r="F171" s="77"/>
      <c r="G171" s="77"/>
      <c r="H171" s="176"/>
      <c r="I171" s="77"/>
      <c r="J171" s="90"/>
      <c r="K171" s="91"/>
      <c r="L171" s="91"/>
      <c r="M171" s="77"/>
      <c r="N171" s="77"/>
      <c r="O171" s="77"/>
      <c r="P171" s="95"/>
      <c r="Q171" s="95"/>
      <c r="R171" s="95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</row>
    <row r="172" spans="1:28" ht="14.4" customHeight="1" x14ac:dyDescent="0.25">
      <c r="A172" s="77"/>
      <c r="B172" s="77"/>
      <c r="C172" s="77"/>
      <c r="D172" s="77"/>
      <c r="E172" s="77"/>
      <c r="F172" s="77"/>
      <c r="G172" s="77"/>
      <c r="H172" s="176"/>
      <c r="I172" s="77"/>
      <c r="J172" s="90"/>
      <c r="K172" s="91"/>
      <c r="L172" s="91"/>
      <c r="M172" s="77"/>
      <c r="N172" s="77"/>
      <c r="O172" s="77"/>
      <c r="P172" s="95"/>
      <c r="Q172" s="95"/>
      <c r="R172" s="95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</row>
    <row r="173" spans="1:28" ht="14.4" customHeight="1" x14ac:dyDescent="0.25">
      <c r="A173" s="77"/>
      <c r="B173" s="77"/>
      <c r="C173" s="77"/>
      <c r="D173" s="77"/>
      <c r="E173" s="77"/>
      <c r="F173" s="77"/>
      <c r="G173" s="77"/>
      <c r="H173" s="176"/>
      <c r="I173" s="77"/>
      <c r="J173" s="90"/>
      <c r="K173" s="91"/>
      <c r="L173" s="91"/>
      <c r="M173" s="77"/>
      <c r="N173" s="77"/>
      <c r="O173" s="77"/>
      <c r="P173" s="95"/>
      <c r="Q173" s="95"/>
      <c r="R173" s="95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</row>
    <row r="174" spans="1:28" ht="14.4" customHeight="1" x14ac:dyDescent="0.25">
      <c r="A174" s="77"/>
      <c r="B174" s="77"/>
      <c r="C174" s="77"/>
      <c r="D174" s="77"/>
      <c r="E174" s="77"/>
      <c r="F174" s="77"/>
      <c r="G174" s="77"/>
      <c r="H174" s="176"/>
      <c r="I174" s="77"/>
      <c r="J174" s="90"/>
      <c r="K174" s="91"/>
      <c r="L174" s="91"/>
      <c r="M174" s="77"/>
      <c r="N174" s="77"/>
      <c r="O174" s="77"/>
      <c r="P174" s="95"/>
      <c r="Q174" s="95"/>
      <c r="R174" s="95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</row>
    <row r="175" spans="1:28" ht="14.4" customHeight="1" x14ac:dyDescent="0.25">
      <c r="A175" s="77"/>
      <c r="B175" s="77"/>
      <c r="C175" s="77"/>
      <c r="D175" s="77"/>
      <c r="E175" s="77"/>
      <c r="F175" s="77"/>
      <c r="G175" s="77"/>
      <c r="H175" s="176"/>
      <c r="I175" s="77"/>
      <c r="J175" s="90"/>
      <c r="K175" s="91"/>
      <c r="L175" s="91"/>
      <c r="M175" s="77"/>
      <c r="N175" s="77"/>
      <c r="O175" s="77"/>
      <c r="P175" s="95"/>
      <c r="Q175" s="95"/>
      <c r="R175" s="95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</row>
    <row r="176" spans="1:28" ht="14.4" customHeight="1" x14ac:dyDescent="0.25">
      <c r="A176" s="77"/>
      <c r="B176" s="77"/>
      <c r="C176" s="77"/>
      <c r="D176" s="77"/>
      <c r="E176" s="77"/>
      <c r="F176" s="77"/>
      <c r="G176" s="77"/>
      <c r="H176" s="176"/>
      <c r="I176" s="77"/>
      <c r="J176" s="90"/>
      <c r="K176" s="91"/>
      <c r="L176" s="91"/>
      <c r="M176" s="77"/>
      <c r="N176" s="77"/>
      <c r="O176" s="77"/>
      <c r="P176" s="95"/>
      <c r="Q176" s="95"/>
      <c r="R176" s="95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8" ht="14.4" customHeight="1" x14ac:dyDescent="0.25">
      <c r="A177" s="77"/>
      <c r="B177" s="77"/>
      <c r="C177" s="77"/>
      <c r="D177" s="77"/>
      <c r="E177" s="77"/>
      <c r="F177" s="77"/>
      <c r="G177" s="77"/>
      <c r="H177" s="176"/>
      <c r="I177" s="77"/>
      <c r="J177" s="90"/>
      <c r="K177" s="91"/>
      <c r="L177" s="91"/>
      <c r="M177" s="77"/>
      <c r="N177" s="77"/>
      <c r="O177" s="77"/>
      <c r="P177" s="95"/>
      <c r="Q177" s="95"/>
      <c r="R177" s="95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</row>
    <row r="178" spans="1:28" ht="14.4" customHeight="1" x14ac:dyDescent="0.25">
      <c r="A178" s="77"/>
      <c r="B178" s="77"/>
      <c r="C178" s="77"/>
      <c r="D178" s="77"/>
      <c r="E178" s="77"/>
      <c r="F178" s="77"/>
      <c r="G178" s="77"/>
      <c r="H178" s="176"/>
      <c r="I178" s="77"/>
      <c r="J178" s="90"/>
      <c r="K178" s="91"/>
      <c r="L178" s="91"/>
      <c r="M178" s="77"/>
      <c r="N178" s="77"/>
      <c r="O178" s="77"/>
      <c r="P178" s="95"/>
      <c r="Q178" s="95"/>
      <c r="R178" s="95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 spans="1:28" ht="14.4" customHeight="1" x14ac:dyDescent="0.25">
      <c r="A179" s="77"/>
      <c r="B179" s="77"/>
      <c r="C179" s="77"/>
      <c r="D179" s="77"/>
      <c r="E179" s="77"/>
      <c r="F179" s="77"/>
      <c r="G179" s="77"/>
      <c r="H179" s="176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8" ht="14.4" customHeight="1" x14ac:dyDescent="0.25">
      <c r="A180" s="77"/>
      <c r="B180" s="77"/>
      <c r="C180" s="77"/>
      <c r="D180" s="77"/>
      <c r="E180" s="77"/>
      <c r="F180" s="77"/>
      <c r="G180" s="77"/>
      <c r="H180" s="176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8" ht="14.4" customHeight="1" x14ac:dyDescent="0.25">
      <c r="A181" s="77"/>
      <c r="B181" s="77"/>
      <c r="C181" s="77"/>
      <c r="D181" s="77"/>
      <c r="E181" s="77"/>
      <c r="F181" s="77"/>
      <c r="G181" s="77"/>
      <c r="H181" s="176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 ht="14.4" customHeight="1" x14ac:dyDescent="0.25">
      <c r="A182" s="77"/>
      <c r="B182" s="77"/>
      <c r="C182" s="77"/>
      <c r="D182" s="77"/>
      <c r="E182" s="77"/>
      <c r="F182" s="77"/>
      <c r="G182" s="77"/>
      <c r="H182" s="176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 ht="14.4" customHeight="1" x14ac:dyDescent="0.25">
      <c r="A183" s="77"/>
      <c r="B183" s="77"/>
      <c r="C183" s="77"/>
      <c r="D183" s="77"/>
      <c r="E183" s="77"/>
      <c r="F183" s="77"/>
      <c r="G183" s="77"/>
      <c r="H183" s="176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 ht="14.4" customHeight="1" x14ac:dyDescent="0.25">
      <c r="A184" s="77"/>
      <c r="B184" s="77"/>
      <c r="C184" s="77"/>
      <c r="D184" s="77"/>
      <c r="E184" s="77"/>
      <c r="F184" s="77"/>
      <c r="G184" s="77"/>
      <c r="H184" s="176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ht="14.4" customHeight="1" x14ac:dyDescent="0.25">
      <c r="A185" s="77"/>
      <c r="B185" s="77"/>
      <c r="C185" s="77"/>
      <c r="D185" s="77"/>
      <c r="E185" s="77"/>
      <c r="F185" s="77"/>
      <c r="G185" s="77"/>
      <c r="H185" s="176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 ht="14.4" customHeight="1" x14ac:dyDescent="0.25">
      <c r="A186" s="77"/>
      <c r="B186" s="77"/>
      <c r="C186" s="77"/>
      <c r="D186" s="77"/>
      <c r="E186" s="77"/>
      <c r="F186" s="77"/>
      <c r="G186" s="77"/>
      <c r="H186" s="176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 ht="14.4" customHeight="1" x14ac:dyDescent="0.25">
      <c r="A187" s="77"/>
      <c r="B187" s="77"/>
      <c r="C187" s="77"/>
      <c r="D187" s="77"/>
      <c r="E187" s="77"/>
      <c r="F187" s="77"/>
      <c r="G187" s="77"/>
      <c r="H187" s="176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 ht="14.4" customHeight="1" x14ac:dyDescent="0.25">
      <c r="A188" s="77"/>
      <c r="B188" s="77"/>
      <c r="C188" s="77"/>
      <c r="D188" s="77"/>
      <c r="E188" s="77"/>
      <c r="F188" s="77"/>
      <c r="G188" s="77"/>
      <c r="H188" s="176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 ht="14.4" customHeight="1" x14ac:dyDescent="0.25">
      <c r="A189" s="77"/>
      <c r="B189" s="77"/>
      <c r="C189" s="77"/>
      <c r="D189" s="77"/>
      <c r="E189" s="77"/>
      <c r="F189" s="77"/>
      <c r="G189" s="77"/>
      <c r="H189" s="176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 ht="14.4" customHeight="1" x14ac:dyDescent="0.25">
      <c r="A190" s="77"/>
      <c r="B190" s="77"/>
      <c r="C190" s="77"/>
      <c r="D190" s="77"/>
      <c r="E190" s="77"/>
      <c r="F190" s="77"/>
      <c r="G190" s="77"/>
      <c r="H190" s="176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 ht="14.4" customHeight="1" x14ac:dyDescent="0.25">
      <c r="A191" s="77"/>
      <c r="B191" s="77"/>
      <c r="C191" s="77"/>
      <c r="D191" s="77"/>
      <c r="E191" s="77"/>
      <c r="F191" s="77"/>
      <c r="G191" s="77"/>
      <c r="H191" s="176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 ht="14.4" customHeight="1" x14ac:dyDescent="0.25">
      <c r="A192" s="77"/>
      <c r="B192" s="77"/>
      <c r="C192" s="77"/>
      <c r="D192" s="77"/>
      <c r="E192" s="77"/>
      <c r="F192" s="77"/>
      <c r="G192" s="77"/>
      <c r="H192" s="176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 ht="14.4" customHeight="1" x14ac:dyDescent="0.25">
      <c r="A193" s="77"/>
      <c r="B193" s="77"/>
      <c r="C193" s="77"/>
      <c r="D193" s="77"/>
      <c r="E193" s="77"/>
      <c r="F193" s="77"/>
      <c r="G193" s="77"/>
      <c r="H193" s="176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 ht="14.4" customHeight="1" x14ac:dyDescent="0.25">
      <c r="A194" s="77"/>
      <c r="B194" s="77"/>
      <c r="C194" s="77"/>
      <c r="D194" s="77"/>
      <c r="E194" s="77"/>
      <c r="F194" s="77"/>
      <c r="G194" s="77"/>
      <c r="H194" s="176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 ht="14.4" customHeight="1" x14ac:dyDescent="0.25">
      <c r="A195" s="77"/>
      <c r="B195" s="77"/>
      <c r="C195" s="77"/>
      <c r="D195" s="77"/>
      <c r="E195" s="77"/>
      <c r="F195" s="77"/>
      <c r="G195" s="77"/>
      <c r="H195" s="176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 ht="14.4" customHeight="1" x14ac:dyDescent="0.25">
      <c r="A196" s="77"/>
      <c r="B196" s="77"/>
      <c r="C196" s="77"/>
      <c r="D196" s="77"/>
      <c r="E196" s="77"/>
      <c r="F196" s="77"/>
      <c r="G196" s="77"/>
      <c r="H196" s="176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 ht="14.4" customHeight="1" x14ac:dyDescent="0.25">
      <c r="A197" s="77"/>
      <c r="B197" s="77"/>
      <c r="C197" s="77"/>
      <c r="D197" s="77"/>
      <c r="E197" s="77"/>
      <c r="F197" s="77"/>
      <c r="G197" s="77"/>
      <c r="H197" s="176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 ht="14.4" customHeight="1" x14ac:dyDescent="0.25">
      <c r="A198" s="77"/>
      <c r="B198" s="77"/>
      <c r="C198" s="77"/>
      <c r="D198" s="77"/>
      <c r="E198" s="77"/>
      <c r="F198" s="77"/>
      <c r="G198" s="77"/>
      <c r="H198" s="176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 ht="14.4" customHeight="1" x14ac:dyDescent="0.25">
      <c r="A199" s="77"/>
      <c r="B199" s="77"/>
      <c r="C199" s="77"/>
      <c r="D199" s="77"/>
      <c r="E199" s="77"/>
      <c r="F199" s="77"/>
      <c r="G199" s="77"/>
      <c r="H199" s="176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ht="14.4" customHeight="1" x14ac:dyDescent="0.25">
      <c r="A200" s="77"/>
      <c r="B200" s="77"/>
      <c r="C200" s="77"/>
      <c r="D200" s="77"/>
      <c r="E200" s="77"/>
      <c r="F200" s="77"/>
      <c r="G200" s="77"/>
      <c r="H200" s="176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 ht="14.4" customHeight="1" x14ac:dyDescent="0.25">
      <c r="A201" s="77"/>
      <c r="B201" s="77"/>
      <c r="C201" s="77"/>
      <c r="D201" s="77"/>
      <c r="E201" s="77"/>
      <c r="F201" s="77"/>
      <c r="G201" s="77"/>
      <c r="H201" s="176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 ht="14.4" customHeight="1" x14ac:dyDescent="0.25">
      <c r="A202" s="77"/>
      <c r="B202" s="77"/>
      <c r="C202" s="77"/>
      <c r="D202" s="77"/>
      <c r="E202" s="77"/>
      <c r="F202" s="77"/>
      <c r="G202" s="77"/>
      <c r="H202" s="176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 ht="14.4" customHeight="1" x14ac:dyDescent="0.25">
      <c r="A203" s="77"/>
      <c r="B203" s="77"/>
      <c r="C203" s="77"/>
      <c r="D203" s="77"/>
      <c r="E203" s="77"/>
      <c r="F203" s="77"/>
      <c r="G203" s="77"/>
      <c r="H203" s="176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 ht="14.4" customHeight="1" x14ac:dyDescent="0.25">
      <c r="A204" s="77"/>
      <c r="B204" s="77"/>
      <c r="C204" s="77"/>
      <c r="D204" s="77"/>
      <c r="E204" s="77"/>
      <c r="F204" s="77"/>
      <c r="G204" s="77"/>
      <c r="H204" s="176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 ht="14.4" customHeight="1" x14ac:dyDescent="0.25">
      <c r="A205" s="77"/>
      <c r="B205" s="77"/>
      <c r="C205" s="77"/>
      <c r="D205" s="77"/>
      <c r="E205" s="77"/>
      <c r="F205" s="77"/>
      <c r="G205" s="77"/>
      <c r="H205" s="176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 ht="14.4" customHeight="1" x14ac:dyDescent="0.25">
      <c r="A206" s="77"/>
      <c r="B206" s="77"/>
      <c r="C206" s="77"/>
      <c r="D206" s="77"/>
      <c r="E206" s="77"/>
      <c r="F206" s="77"/>
      <c r="G206" s="77"/>
      <c r="H206" s="176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 ht="14.4" customHeight="1" x14ac:dyDescent="0.25">
      <c r="A207" s="77"/>
      <c r="B207" s="77"/>
      <c r="C207" s="77"/>
      <c r="D207" s="77"/>
      <c r="E207" s="77"/>
      <c r="F207" s="77"/>
      <c r="G207" s="77"/>
      <c r="H207" s="176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 ht="14.4" customHeight="1" x14ac:dyDescent="0.25">
      <c r="A208" s="77"/>
      <c r="B208" s="77"/>
      <c r="C208" s="77"/>
      <c r="D208" s="77"/>
      <c r="E208" s="77"/>
      <c r="F208" s="77"/>
      <c r="G208" s="77"/>
      <c r="H208" s="176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 ht="14.4" customHeight="1" x14ac:dyDescent="0.25">
      <c r="A209" s="77"/>
      <c r="B209" s="77"/>
      <c r="C209" s="77"/>
      <c r="D209" s="77"/>
      <c r="E209" s="77"/>
      <c r="F209" s="77"/>
      <c r="G209" s="77"/>
      <c r="H209" s="176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 ht="14.4" customHeight="1" x14ac:dyDescent="0.25">
      <c r="A210" s="77"/>
      <c r="B210" s="77"/>
      <c r="C210" s="77"/>
      <c r="D210" s="77"/>
      <c r="E210" s="77"/>
      <c r="F210" s="77"/>
      <c r="G210" s="77"/>
      <c r="H210" s="176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 ht="14.4" customHeight="1" x14ac:dyDescent="0.25">
      <c r="A211" s="77"/>
      <c r="B211" s="77"/>
      <c r="C211" s="77"/>
      <c r="D211" s="77"/>
      <c r="E211" s="77"/>
      <c r="F211" s="77"/>
      <c r="G211" s="77"/>
      <c r="H211" s="176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 ht="14.4" customHeight="1" x14ac:dyDescent="0.25">
      <c r="A212" s="77"/>
      <c r="B212" s="77"/>
      <c r="C212" s="77"/>
      <c r="D212" s="77"/>
      <c r="E212" s="77"/>
      <c r="F212" s="77"/>
      <c r="G212" s="77"/>
      <c r="H212" s="176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 ht="14.4" customHeight="1" x14ac:dyDescent="0.25">
      <c r="A213" s="77"/>
      <c r="B213" s="77"/>
      <c r="C213" s="77"/>
      <c r="D213" s="77"/>
      <c r="E213" s="77"/>
      <c r="F213" s="77"/>
      <c r="G213" s="77"/>
      <c r="H213" s="176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 ht="14.4" customHeight="1" x14ac:dyDescent="0.25">
      <c r="A214" s="77"/>
      <c r="B214" s="77"/>
      <c r="C214" s="77"/>
      <c r="D214" s="77"/>
      <c r="E214" s="77"/>
      <c r="F214" s="77"/>
      <c r="G214" s="77"/>
      <c r="H214" s="176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ht="14.4" customHeight="1" x14ac:dyDescent="0.25">
      <c r="A215" s="77"/>
      <c r="B215" s="77"/>
      <c r="C215" s="77"/>
      <c r="D215" s="77"/>
      <c r="E215" s="77"/>
      <c r="F215" s="77"/>
      <c r="G215" s="77"/>
      <c r="H215" s="176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 ht="14.4" customHeight="1" x14ac:dyDescent="0.25">
      <c r="A216" s="77"/>
      <c r="B216" s="77"/>
      <c r="C216" s="77"/>
      <c r="D216" s="77"/>
      <c r="E216" s="77"/>
      <c r="F216" s="77"/>
      <c r="G216" s="77"/>
      <c r="H216" s="176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 ht="14.4" customHeight="1" x14ac:dyDescent="0.25">
      <c r="A217" s="77"/>
      <c r="B217" s="77"/>
      <c r="C217" s="77"/>
      <c r="D217" s="77"/>
      <c r="E217" s="77"/>
      <c r="F217" s="77"/>
      <c r="G217" s="77"/>
      <c r="H217" s="176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 ht="14.4" customHeight="1" x14ac:dyDescent="0.25">
      <c r="A218" s="77"/>
      <c r="B218" s="77"/>
      <c r="C218" s="77"/>
      <c r="D218" s="77"/>
      <c r="E218" s="77"/>
      <c r="F218" s="77"/>
      <c r="G218" s="77"/>
      <c r="H218" s="176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 ht="14.4" customHeight="1" x14ac:dyDescent="0.25">
      <c r="A219" s="77"/>
      <c r="B219" s="77"/>
      <c r="C219" s="77"/>
      <c r="D219" s="77"/>
      <c r="E219" s="77"/>
      <c r="F219" s="77"/>
      <c r="G219" s="77"/>
      <c r="H219" s="176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 ht="14.4" customHeight="1" x14ac:dyDescent="0.25">
      <c r="A220" s="77"/>
      <c r="B220" s="77"/>
      <c r="C220" s="77"/>
      <c r="D220" s="77"/>
      <c r="E220" s="77"/>
      <c r="F220" s="77"/>
      <c r="G220" s="77"/>
      <c r="H220" s="176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 ht="14.4" customHeight="1" x14ac:dyDescent="0.25">
      <c r="A221" s="77"/>
      <c r="B221" s="77"/>
      <c r="C221" s="77"/>
      <c r="D221" s="77"/>
      <c r="E221" s="77"/>
      <c r="F221" s="77"/>
      <c r="G221" s="77"/>
      <c r="H221" s="176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 ht="14.4" customHeight="1" x14ac:dyDescent="0.25">
      <c r="A222" s="77"/>
      <c r="B222" s="77"/>
      <c r="C222" s="77"/>
      <c r="D222" s="77"/>
      <c r="E222" s="77"/>
      <c r="F222" s="77"/>
      <c r="G222" s="77"/>
      <c r="H222" s="176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 ht="14.4" customHeight="1" x14ac:dyDescent="0.25">
      <c r="A223" s="77"/>
      <c r="B223" s="77"/>
      <c r="C223" s="77"/>
      <c r="D223" s="77"/>
      <c r="E223" s="77"/>
      <c r="F223" s="77"/>
      <c r="G223" s="77"/>
      <c r="H223" s="176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 ht="14.4" customHeight="1" x14ac:dyDescent="0.25">
      <c r="A224" s="77"/>
      <c r="B224" s="77"/>
      <c r="C224" s="77"/>
      <c r="D224" s="77"/>
      <c r="E224" s="77"/>
      <c r="F224" s="77"/>
      <c r="G224" s="77"/>
      <c r="H224" s="176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1:28" ht="14.4" customHeight="1" x14ac:dyDescent="0.25">
      <c r="A225" s="77"/>
      <c r="B225" s="77"/>
      <c r="C225" s="77"/>
      <c r="D225" s="77"/>
      <c r="E225" s="77"/>
      <c r="F225" s="77"/>
      <c r="G225" s="77"/>
      <c r="H225" s="176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28" ht="14.4" customHeight="1" x14ac:dyDescent="0.25">
      <c r="A226" s="77"/>
      <c r="B226" s="77"/>
      <c r="C226" s="77"/>
      <c r="D226" s="77"/>
      <c r="E226" s="77"/>
      <c r="F226" s="77"/>
      <c r="G226" s="77"/>
      <c r="H226" s="176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 spans="1:28" ht="14.4" customHeight="1" x14ac:dyDescent="0.25">
      <c r="A227" s="77"/>
      <c r="B227" s="77"/>
      <c r="C227" s="77"/>
      <c r="D227" s="77"/>
      <c r="E227" s="77"/>
      <c r="F227" s="77"/>
      <c r="G227" s="77"/>
      <c r="H227" s="176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 spans="1:28" ht="14.4" customHeight="1" x14ac:dyDescent="0.25">
      <c r="A228" s="77"/>
      <c r="B228" s="77"/>
      <c r="C228" s="77"/>
      <c r="D228" s="77"/>
      <c r="E228" s="77"/>
      <c r="F228" s="77"/>
      <c r="G228" s="77"/>
      <c r="H228" s="176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 spans="1:28" ht="14.4" customHeight="1" x14ac:dyDescent="0.25">
      <c r="A229" s="77"/>
      <c r="B229" s="77"/>
      <c r="C229" s="77"/>
      <c r="D229" s="77"/>
      <c r="E229" s="77"/>
      <c r="F229" s="77"/>
      <c r="G229" s="77"/>
      <c r="H229" s="176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ht="14.4" customHeight="1" x14ac:dyDescent="0.25">
      <c r="A230" s="77"/>
      <c r="B230" s="77"/>
      <c r="C230" s="77"/>
      <c r="D230" s="77"/>
      <c r="E230" s="77"/>
      <c r="F230" s="77"/>
      <c r="G230" s="77"/>
      <c r="H230" s="176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 spans="1:28" ht="14.4" customHeight="1" x14ac:dyDescent="0.25">
      <c r="A231" s="77"/>
      <c r="B231" s="77"/>
      <c r="C231" s="77"/>
      <c r="D231" s="77"/>
      <c r="E231" s="77"/>
      <c r="F231" s="77"/>
      <c r="G231" s="77"/>
      <c r="H231" s="176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 spans="1:28" ht="14.4" customHeight="1" x14ac:dyDescent="0.25">
      <c r="A232" s="77"/>
      <c r="B232" s="77"/>
      <c r="C232" s="77"/>
      <c r="D232" s="77"/>
      <c r="E232" s="77"/>
      <c r="F232" s="77"/>
      <c r="G232" s="77"/>
      <c r="H232" s="176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28" ht="14.4" customHeight="1" x14ac:dyDescent="0.25">
      <c r="A233" s="77"/>
      <c r="B233" s="77"/>
      <c r="C233" s="77"/>
      <c r="D233" s="77"/>
      <c r="E233" s="77"/>
      <c r="F233" s="77"/>
      <c r="G233" s="77"/>
      <c r="H233" s="176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28" ht="14.4" customHeight="1" x14ac:dyDescent="0.25">
      <c r="A234" s="77"/>
      <c r="B234" s="77"/>
      <c r="C234" s="77"/>
      <c r="D234" s="77"/>
      <c r="E234" s="77"/>
      <c r="F234" s="77"/>
      <c r="G234" s="77"/>
      <c r="H234" s="176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28" ht="14.4" customHeight="1" x14ac:dyDescent="0.25">
      <c r="A235" s="77"/>
      <c r="B235" s="77"/>
      <c r="C235" s="77"/>
      <c r="D235" s="77"/>
      <c r="E235" s="77"/>
      <c r="F235" s="77"/>
      <c r="G235" s="77"/>
      <c r="H235" s="176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 spans="1:28" ht="14.4" customHeight="1" x14ac:dyDescent="0.25">
      <c r="A236" s="77"/>
      <c r="B236" s="77"/>
      <c r="C236" s="77"/>
      <c r="D236" s="77"/>
      <c r="E236" s="77"/>
      <c r="F236" s="77"/>
      <c r="G236" s="77"/>
      <c r="H236" s="176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 spans="1:28" ht="14.4" customHeight="1" x14ac:dyDescent="0.25">
      <c r="A237" s="77"/>
      <c r="B237" s="77"/>
      <c r="C237" s="77"/>
      <c r="D237" s="77"/>
      <c r="E237" s="77"/>
      <c r="F237" s="77"/>
      <c r="G237" s="77"/>
      <c r="H237" s="176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 spans="1:28" ht="14.4" customHeight="1" x14ac:dyDescent="0.25">
      <c r="A238" s="77"/>
      <c r="B238" s="77"/>
      <c r="C238" s="77"/>
      <c r="D238" s="77"/>
      <c r="E238" s="77"/>
      <c r="F238" s="77"/>
      <c r="G238" s="77"/>
      <c r="H238" s="176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 spans="1:28" ht="14.4" customHeight="1" x14ac:dyDescent="0.25">
      <c r="A239" s="77"/>
      <c r="B239" s="77"/>
      <c r="C239" s="77"/>
      <c r="D239" s="77"/>
      <c r="E239" s="77"/>
      <c r="F239" s="77"/>
      <c r="G239" s="77"/>
      <c r="H239" s="176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 spans="1:28" ht="14.4" customHeight="1" x14ac:dyDescent="0.25">
      <c r="A240" s="77"/>
      <c r="B240" s="77"/>
      <c r="C240" s="77"/>
      <c r="D240" s="77"/>
      <c r="E240" s="77"/>
      <c r="F240" s="77"/>
      <c r="G240" s="77"/>
      <c r="H240" s="176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 spans="1:28" ht="14.4" customHeight="1" x14ac:dyDescent="0.25">
      <c r="A241" s="77"/>
      <c r="B241" s="77"/>
      <c r="C241" s="77"/>
      <c r="D241" s="77"/>
      <c r="E241" s="77"/>
      <c r="F241" s="77"/>
      <c r="G241" s="77"/>
      <c r="H241" s="176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 ht="14.4" customHeight="1" x14ac:dyDescent="0.25">
      <c r="A242" s="77"/>
      <c r="B242" s="77"/>
      <c r="C242" s="77"/>
      <c r="D242" s="77"/>
      <c r="E242" s="77"/>
      <c r="F242" s="77"/>
      <c r="G242" s="77"/>
      <c r="H242" s="176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 spans="1:28" ht="14.4" customHeight="1" x14ac:dyDescent="0.25">
      <c r="A243" s="77"/>
      <c r="B243" s="77"/>
      <c r="C243" s="77"/>
      <c r="D243" s="77"/>
      <c r="E243" s="77"/>
      <c r="F243" s="77"/>
      <c r="G243" s="77"/>
      <c r="H243" s="176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 spans="1:28" ht="14.4" customHeight="1" x14ac:dyDescent="0.25">
      <c r="A244" s="77"/>
      <c r="B244" s="77"/>
      <c r="C244" s="77"/>
      <c r="D244" s="77"/>
      <c r="E244" s="77"/>
      <c r="F244" s="77"/>
      <c r="G244" s="77"/>
      <c r="H244" s="176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ht="14.4" customHeight="1" x14ac:dyDescent="0.25">
      <c r="A245" s="77"/>
      <c r="B245" s="77"/>
      <c r="C245" s="77"/>
      <c r="D245" s="77"/>
      <c r="E245" s="77"/>
      <c r="F245" s="77"/>
      <c r="G245" s="77"/>
      <c r="H245" s="176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 spans="1:28" ht="14.4" customHeight="1" x14ac:dyDescent="0.25">
      <c r="A246" s="77"/>
      <c r="B246" s="77"/>
      <c r="C246" s="77"/>
      <c r="D246" s="77"/>
      <c r="E246" s="77"/>
      <c r="F246" s="77"/>
      <c r="G246" s="77"/>
      <c r="H246" s="176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 spans="1:28" ht="14.4" customHeight="1" x14ac:dyDescent="0.25">
      <c r="A247" s="77"/>
      <c r="B247" s="77"/>
      <c r="C247" s="77"/>
      <c r="D247" s="77"/>
      <c r="E247" s="77"/>
      <c r="F247" s="77"/>
      <c r="G247" s="77"/>
      <c r="H247" s="176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 spans="1:28" ht="14.4" customHeight="1" x14ac:dyDescent="0.25">
      <c r="A248" s="77"/>
      <c r="B248" s="77"/>
      <c r="C248" s="77"/>
      <c r="D248" s="77"/>
      <c r="E248" s="77"/>
      <c r="F248" s="77"/>
      <c r="G248" s="77"/>
      <c r="H248" s="176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 spans="1:28" ht="14.4" customHeight="1" x14ac:dyDescent="0.25">
      <c r="A249" s="77"/>
      <c r="B249" s="77"/>
      <c r="C249" s="77"/>
      <c r="D249" s="77"/>
      <c r="E249" s="77"/>
      <c r="F249" s="77"/>
      <c r="G249" s="77"/>
      <c r="H249" s="176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 spans="1:28" ht="14.4" customHeight="1" x14ac:dyDescent="0.25">
      <c r="A250" s="77"/>
      <c r="B250" s="77"/>
      <c r="C250" s="77"/>
      <c r="D250" s="77"/>
      <c r="E250" s="77"/>
      <c r="F250" s="77"/>
      <c r="G250" s="77"/>
      <c r="H250" s="176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 spans="1:28" ht="14.4" customHeight="1" x14ac:dyDescent="0.25">
      <c r="A251" s="77"/>
      <c r="B251" s="77"/>
      <c r="C251" s="77"/>
      <c r="D251" s="77"/>
      <c r="E251" s="77"/>
      <c r="F251" s="77"/>
      <c r="G251" s="77"/>
      <c r="H251" s="176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 spans="1:28" ht="14.4" customHeight="1" x14ac:dyDescent="0.25">
      <c r="A252" s="77"/>
      <c r="B252" s="77"/>
      <c r="C252" s="77"/>
      <c r="D252" s="77"/>
      <c r="E252" s="77"/>
      <c r="F252" s="77"/>
      <c r="G252" s="77"/>
      <c r="H252" s="176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 spans="1:28" ht="14.4" customHeight="1" x14ac:dyDescent="0.25">
      <c r="A253" s="77"/>
      <c r="B253" s="77"/>
      <c r="C253" s="77"/>
      <c r="D253" s="77"/>
      <c r="E253" s="77"/>
      <c r="F253" s="77"/>
      <c r="G253" s="77"/>
      <c r="H253" s="176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 spans="1:28" ht="14.4" customHeight="1" x14ac:dyDescent="0.25">
      <c r="A254" s="77"/>
      <c r="B254" s="77"/>
      <c r="C254" s="77"/>
      <c r="D254" s="77"/>
      <c r="E254" s="77"/>
      <c r="F254" s="77"/>
      <c r="G254" s="77"/>
      <c r="H254" s="176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 spans="1:28" ht="14.4" customHeight="1" x14ac:dyDescent="0.25">
      <c r="A255" s="77"/>
      <c r="B255" s="77"/>
      <c r="C255" s="77"/>
      <c r="D255" s="77"/>
      <c r="E255" s="77"/>
      <c r="F255" s="77"/>
      <c r="G255" s="77"/>
      <c r="H255" s="176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 spans="1:28" ht="14.4" customHeight="1" x14ac:dyDescent="0.25">
      <c r="A256" s="77"/>
      <c r="B256" s="77"/>
      <c r="C256" s="77"/>
      <c r="D256" s="77"/>
      <c r="E256" s="77"/>
      <c r="F256" s="77"/>
      <c r="G256" s="77"/>
      <c r="H256" s="176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 spans="1:28" ht="14.4" customHeight="1" x14ac:dyDescent="0.25">
      <c r="A257" s="77"/>
      <c r="B257" s="77"/>
      <c r="C257" s="77"/>
      <c r="D257" s="77"/>
      <c r="E257" s="77"/>
      <c r="F257" s="77"/>
      <c r="G257" s="77"/>
      <c r="H257" s="176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 spans="1:28" ht="14.4" customHeight="1" x14ac:dyDescent="0.25">
      <c r="A258" s="77"/>
      <c r="B258" s="77"/>
      <c r="C258" s="77"/>
      <c r="D258" s="77"/>
      <c r="E258" s="77"/>
      <c r="F258" s="77"/>
      <c r="G258" s="77"/>
      <c r="H258" s="176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 spans="1:28" ht="14.4" customHeight="1" x14ac:dyDescent="0.25">
      <c r="A259" s="77"/>
      <c r="B259" s="77"/>
      <c r="C259" s="77"/>
      <c r="D259" s="77"/>
      <c r="E259" s="77"/>
      <c r="F259" s="77"/>
      <c r="G259" s="77"/>
      <c r="H259" s="176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 ht="14.4" customHeight="1" x14ac:dyDescent="0.25">
      <c r="A260" s="77"/>
      <c r="B260" s="77"/>
      <c r="C260" s="77"/>
      <c r="D260" s="77"/>
      <c r="E260" s="77"/>
      <c r="F260" s="77"/>
      <c r="G260" s="77"/>
      <c r="H260" s="176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 spans="1:28" ht="14.4" customHeight="1" x14ac:dyDescent="0.25">
      <c r="A261" s="77"/>
      <c r="B261" s="77"/>
      <c r="C261" s="77"/>
      <c r="D261" s="77"/>
      <c r="E261" s="77"/>
      <c r="F261" s="77"/>
      <c r="G261" s="77"/>
      <c r="H261" s="176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 spans="1:28" ht="14.4" customHeight="1" x14ac:dyDescent="0.25">
      <c r="A262" s="77"/>
      <c r="B262" s="77"/>
      <c r="C262" s="77"/>
      <c r="D262" s="77"/>
      <c r="E262" s="77"/>
      <c r="F262" s="77"/>
      <c r="G262" s="77"/>
      <c r="H262" s="176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 spans="1:28" ht="14.4" customHeight="1" x14ac:dyDescent="0.25">
      <c r="A263" s="77"/>
      <c r="B263" s="77"/>
      <c r="C263" s="77"/>
      <c r="D263" s="77"/>
      <c r="E263" s="77"/>
      <c r="F263" s="77"/>
      <c r="G263" s="77"/>
      <c r="H263" s="176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 spans="1:28" ht="14.4" customHeight="1" x14ac:dyDescent="0.25">
      <c r="A264" s="77"/>
      <c r="B264" s="77"/>
      <c r="C264" s="77"/>
      <c r="D264" s="77"/>
      <c r="E264" s="77"/>
      <c r="F264" s="77"/>
      <c r="G264" s="77"/>
      <c r="H264" s="176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 spans="1:28" ht="14.4" customHeight="1" x14ac:dyDescent="0.25">
      <c r="A265" s="77"/>
      <c r="B265" s="77"/>
      <c r="C265" s="77"/>
      <c r="D265" s="77"/>
      <c r="E265" s="77"/>
      <c r="F265" s="77"/>
      <c r="G265" s="77"/>
      <c r="H265" s="176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 spans="1:28" ht="14.4" customHeight="1" x14ac:dyDescent="0.25">
      <c r="A266" s="77"/>
      <c r="B266" s="77"/>
      <c r="C266" s="77"/>
      <c r="D266" s="77"/>
      <c r="E266" s="77"/>
      <c r="F266" s="77"/>
      <c r="G266" s="77"/>
      <c r="H266" s="176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 spans="1:28" ht="14.4" customHeight="1" x14ac:dyDescent="0.25">
      <c r="A267" s="77"/>
      <c r="B267" s="77"/>
      <c r="C267" s="77"/>
      <c r="D267" s="77"/>
      <c r="E267" s="77"/>
      <c r="F267" s="77"/>
      <c r="G267" s="77"/>
      <c r="H267" s="176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 spans="1:28" ht="14.4" customHeight="1" x14ac:dyDescent="0.25">
      <c r="A268" s="77"/>
      <c r="B268" s="77"/>
      <c r="C268" s="77"/>
      <c r="D268" s="77"/>
      <c r="E268" s="77"/>
      <c r="F268" s="77"/>
      <c r="G268" s="77"/>
      <c r="H268" s="176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 spans="1:28" ht="14.4" customHeight="1" x14ac:dyDescent="0.25">
      <c r="A269" s="77"/>
      <c r="B269" s="77"/>
      <c r="C269" s="77"/>
      <c r="D269" s="77"/>
      <c r="E269" s="77"/>
      <c r="F269" s="77"/>
      <c r="G269" s="77"/>
      <c r="H269" s="176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 spans="1:28" ht="14.4" customHeight="1" x14ac:dyDescent="0.25">
      <c r="A270" s="77"/>
      <c r="B270" s="77"/>
      <c r="C270" s="77"/>
      <c r="D270" s="77"/>
      <c r="E270" s="77"/>
      <c r="F270" s="77"/>
      <c r="G270" s="77"/>
      <c r="H270" s="176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 spans="1:28" ht="14.4" customHeight="1" x14ac:dyDescent="0.25">
      <c r="A271" s="77"/>
      <c r="B271" s="77"/>
      <c r="C271" s="77"/>
      <c r="D271" s="77"/>
      <c r="E271" s="77"/>
      <c r="F271" s="77"/>
      <c r="G271" s="77"/>
      <c r="H271" s="176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 spans="1:28" ht="14.4" customHeight="1" x14ac:dyDescent="0.25">
      <c r="A272" s="77"/>
      <c r="B272" s="77"/>
      <c r="C272" s="77"/>
      <c r="D272" s="77"/>
      <c r="E272" s="77"/>
      <c r="F272" s="77"/>
      <c r="G272" s="77"/>
      <c r="H272" s="176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 spans="1:28" ht="14.4" customHeight="1" x14ac:dyDescent="0.25">
      <c r="A273" s="77"/>
      <c r="B273" s="77"/>
      <c r="C273" s="77"/>
      <c r="D273" s="77"/>
      <c r="E273" s="77"/>
      <c r="F273" s="77"/>
      <c r="G273" s="77"/>
      <c r="H273" s="176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 spans="1:28" ht="14.4" customHeight="1" x14ac:dyDescent="0.25">
      <c r="A274" s="77"/>
      <c r="B274" s="77"/>
      <c r="C274" s="77"/>
      <c r="D274" s="77"/>
      <c r="E274" s="77"/>
      <c r="F274" s="77"/>
      <c r="G274" s="77"/>
      <c r="H274" s="176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ht="14.4" customHeight="1" x14ac:dyDescent="0.25">
      <c r="A275" s="77"/>
      <c r="B275" s="77"/>
      <c r="C275" s="77"/>
      <c r="D275" s="77"/>
      <c r="E275" s="77"/>
      <c r="F275" s="77"/>
      <c r="G275" s="77"/>
      <c r="H275" s="176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 spans="1:28" ht="14.4" customHeight="1" x14ac:dyDescent="0.25">
      <c r="A276" s="77"/>
      <c r="B276" s="77"/>
      <c r="C276" s="77"/>
      <c r="D276" s="77"/>
      <c r="E276" s="77"/>
      <c r="F276" s="77"/>
      <c r="G276" s="77"/>
      <c r="H276" s="176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 spans="1:28" ht="14.4" customHeight="1" x14ac:dyDescent="0.25">
      <c r="A277" s="77"/>
      <c r="B277" s="77"/>
      <c r="C277" s="77"/>
      <c r="D277" s="77"/>
      <c r="E277" s="77"/>
      <c r="F277" s="77"/>
      <c r="G277" s="77"/>
      <c r="H277" s="176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 spans="1:28" ht="14.4" customHeight="1" x14ac:dyDescent="0.25">
      <c r="A278" s="77"/>
      <c r="B278" s="77"/>
      <c r="C278" s="77"/>
      <c r="D278" s="77"/>
      <c r="E278" s="77"/>
      <c r="F278" s="77"/>
      <c r="G278" s="77"/>
      <c r="H278" s="176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 spans="1:28" ht="14.4" customHeight="1" x14ac:dyDescent="0.25">
      <c r="A279" s="77"/>
      <c r="B279" s="77"/>
      <c r="C279" s="77"/>
      <c r="D279" s="77"/>
      <c r="E279" s="77"/>
      <c r="F279" s="77"/>
      <c r="G279" s="77"/>
      <c r="H279" s="176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 spans="1:28" ht="14.4" customHeight="1" x14ac:dyDescent="0.25">
      <c r="A280" s="77"/>
      <c r="B280" s="77"/>
      <c r="C280" s="77"/>
      <c r="D280" s="77"/>
      <c r="E280" s="77"/>
      <c r="F280" s="77"/>
      <c r="G280" s="77"/>
      <c r="H280" s="176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 spans="1:28" ht="14.4" customHeight="1" x14ac:dyDescent="0.25">
      <c r="A281" s="77"/>
      <c r="B281" s="77"/>
      <c r="C281" s="77"/>
      <c r="D281" s="77"/>
      <c r="E281" s="77"/>
      <c r="F281" s="77"/>
      <c r="G281" s="77"/>
      <c r="H281" s="176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 spans="1:28" ht="14.4" customHeight="1" x14ac:dyDescent="0.25">
      <c r="A282" s="77"/>
      <c r="B282" s="77"/>
      <c r="C282" s="77"/>
      <c r="D282" s="77"/>
      <c r="E282" s="77"/>
      <c r="F282" s="77"/>
      <c r="G282" s="77"/>
      <c r="H282" s="176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 spans="1:28" ht="14.4" customHeight="1" x14ac:dyDescent="0.25">
      <c r="A283" s="77"/>
      <c r="B283" s="77"/>
      <c r="C283" s="77"/>
      <c r="D283" s="77"/>
      <c r="E283" s="77"/>
      <c r="F283" s="77"/>
      <c r="G283" s="77"/>
      <c r="H283" s="176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 spans="1:28" ht="14.4" customHeight="1" x14ac:dyDescent="0.25">
      <c r="A284" s="77"/>
      <c r="B284" s="77"/>
      <c r="C284" s="77"/>
      <c r="D284" s="77"/>
      <c r="E284" s="77"/>
      <c r="F284" s="77"/>
      <c r="G284" s="77"/>
      <c r="H284" s="176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 spans="1:28" ht="14.4" customHeight="1" x14ac:dyDescent="0.25">
      <c r="A285" s="77"/>
      <c r="B285" s="77"/>
      <c r="C285" s="77"/>
      <c r="D285" s="77"/>
      <c r="E285" s="77"/>
      <c r="F285" s="77"/>
      <c r="G285" s="77"/>
      <c r="H285" s="176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 spans="1:28" ht="14.4" customHeight="1" x14ac:dyDescent="0.25">
      <c r="A286" s="77"/>
      <c r="B286" s="77"/>
      <c r="C286" s="77"/>
      <c r="D286" s="77"/>
      <c r="E286" s="77"/>
      <c r="F286" s="77"/>
      <c r="G286" s="77"/>
      <c r="H286" s="176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 spans="1:28" ht="14.4" customHeight="1" x14ac:dyDescent="0.25">
      <c r="A287" s="77"/>
      <c r="B287" s="77"/>
      <c r="C287" s="77"/>
      <c r="D287" s="77"/>
      <c r="E287" s="77"/>
      <c r="F287" s="77"/>
      <c r="G287" s="77"/>
      <c r="H287" s="176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 spans="1:28" ht="14.4" customHeight="1" x14ac:dyDescent="0.25">
      <c r="A288" s="77"/>
      <c r="B288" s="77"/>
      <c r="C288" s="77"/>
      <c r="D288" s="77"/>
      <c r="E288" s="77"/>
      <c r="F288" s="77"/>
      <c r="G288" s="77"/>
      <c r="H288" s="176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 spans="1:28" ht="14.4" customHeight="1" x14ac:dyDescent="0.25">
      <c r="A289" s="77"/>
      <c r="B289" s="77"/>
      <c r="C289" s="77"/>
      <c r="D289" s="77"/>
      <c r="E289" s="77"/>
      <c r="F289" s="77"/>
      <c r="G289" s="77"/>
      <c r="H289" s="176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ht="14.4" customHeight="1" x14ac:dyDescent="0.25">
      <c r="A290" s="77"/>
      <c r="B290" s="77"/>
      <c r="C290" s="77"/>
      <c r="D290" s="77"/>
      <c r="E290" s="77"/>
      <c r="F290" s="77"/>
      <c r="G290" s="77"/>
      <c r="H290" s="176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 spans="1:28" ht="14.4" customHeight="1" x14ac:dyDescent="0.25">
      <c r="A291" s="77"/>
      <c r="B291" s="77"/>
      <c r="C291" s="77"/>
      <c r="D291" s="77"/>
      <c r="E291" s="77"/>
      <c r="F291" s="77"/>
      <c r="G291" s="77"/>
      <c r="H291" s="176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 spans="1:28" ht="14.4" customHeight="1" x14ac:dyDescent="0.25">
      <c r="A292" s="77"/>
      <c r="B292" s="77"/>
      <c r="C292" s="77"/>
      <c r="D292" s="77"/>
      <c r="E292" s="77"/>
      <c r="F292" s="77"/>
      <c r="G292" s="77"/>
      <c r="H292" s="176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 spans="1:28" ht="14.4" customHeight="1" x14ac:dyDescent="0.25">
      <c r="A293" s="77"/>
      <c r="B293" s="77"/>
      <c r="C293" s="77"/>
      <c r="D293" s="77"/>
      <c r="E293" s="77"/>
      <c r="F293" s="77"/>
      <c r="G293" s="77"/>
      <c r="H293" s="176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 spans="1:28" ht="14.4" customHeight="1" x14ac:dyDescent="0.25">
      <c r="A294" s="77"/>
      <c r="B294" s="77"/>
      <c r="C294" s="77"/>
      <c r="D294" s="77"/>
      <c r="E294" s="77"/>
      <c r="F294" s="77"/>
      <c r="G294" s="77"/>
      <c r="H294" s="176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 spans="1:28" ht="14.4" customHeight="1" x14ac:dyDescent="0.25">
      <c r="A295" s="77"/>
      <c r="B295" s="77"/>
      <c r="C295" s="77"/>
      <c r="D295" s="77"/>
      <c r="E295" s="77"/>
      <c r="F295" s="77"/>
      <c r="G295" s="77"/>
      <c r="H295" s="176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 spans="1:28" ht="14.4" customHeight="1" x14ac:dyDescent="0.25">
      <c r="A296" s="77"/>
      <c r="B296" s="77"/>
      <c r="C296" s="77"/>
      <c r="D296" s="77"/>
      <c r="E296" s="77"/>
      <c r="F296" s="77"/>
      <c r="G296" s="77"/>
      <c r="H296" s="176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 spans="1:28" ht="14.4" customHeight="1" x14ac:dyDescent="0.25">
      <c r="A297" s="77"/>
      <c r="B297" s="77"/>
      <c r="C297" s="77"/>
      <c r="D297" s="77"/>
      <c r="E297" s="77"/>
      <c r="F297" s="77"/>
      <c r="G297" s="77"/>
      <c r="H297" s="176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 spans="1:28" ht="14.4" customHeight="1" x14ac:dyDescent="0.25">
      <c r="A298" s="77"/>
      <c r="B298" s="77"/>
      <c r="C298" s="77"/>
      <c r="D298" s="77"/>
      <c r="E298" s="77"/>
      <c r="F298" s="77"/>
      <c r="G298" s="77"/>
      <c r="H298" s="176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 spans="1:28" ht="14.4" customHeight="1" x14ac:dyDescent="0.25">
      <c r="A299" s="77"/>
      <c r="B299" s="77"/>
      <c r="C299" s="77"/>
      <c r="D299" s="77"/>
      <c r="E299" s="77"/>
      <c r="F299" s="77"/>
      <c r="G299" s="77"/>
      <c r="H299" s="176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 spans="1:28" ht="14.4" customHeight="1" x14ac:dyDescent="0.25">
      <c r="A300" s="77"/>
      <c r="B300" s="77"/>
      <c r="C300" s="77"/>
      <c r="D300" s="77"/>
      <c r="E300" s="77"/>
      <c r="F300" s="77"/>
      <c r="G300" s="77"/>
      <c r="H300" s="176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 spans="1:28" ht="14.4" customHeight="1" x14ac:dyDescent="0.25">
      <c r="A301" s="77"/>
      <c r="B301" s="77"/>
      <c r="C301" s="77"/>
      <c r="D301" s="77"/>
      <c r="E301" s="77"/>
      <c r="F301" s="77"/>
      <c r="G301" s="77"/>
      <c r="H301" s="176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 spans="1:28" ht="14.4" customHeight="1" x14ac:dyDescent="0.25">
      <c r="A302" s="77"/>
      <c r="B302" s="77"/>
      <c r="C302" s="77"/>
      <c r="D302" s="77"/>
      <c r="E302" s="77"/>
      <c r="F302" s="77"/>
      <c r="G302" s="77"/>
      <c r="H302" s="176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 spans="1:28" ht="14.4" customHeight="1" x14ac:dyDescent="0.25">
      <c r="A303" s="77"/>
      <c r="B303" s="77"/>
      <c r="C303" s="77"/>
      <c r="D303" s="77"/>
      <c r="E303" s="77"/>
      <c r="F303" s="77"/>
      <c r="G303" s="77"/>
      <c r="H303" s="176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 spans="1:28" ht="14.4" customHeight="1" x14ac:dyDescent="0.25">
      <c r="A304" s="77"/>
      <c r="B304" s="77"/>
      <c r="C304" s="77"/>
      <c r="D304" s="77"/>
      <c r="E304" s="77"/>
      <c r="F304" s="77"/>
      <c r="G304" s="77"/>
      <c r="H304" s="176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 ht="14.4" customHeight="1" x14ac:dyDescent="0.25">
      <c r="A305" s="77"/>
      <c r="B305" s="77"/>
      <c r="C305" s="77"/>
      <c r="D305" s="77"/>
      <c r="E305" s="77"/>
      <c r="F305" s="77"/>
      <c r="G305" s="77"/>
      <c r="H305" s="176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 spans="1:28" ht="14.4" customHeight="1" x14ac:dyDescent="0.25">
      <c r="A306" s="77"/>
      <c r="B306" s="77"/>
      <c r="C306" s="77"/>
      <c r="D306" s="77"/>
      <c r="E306" s="77"/>
      <c r="F306" s="77"/>
      <c r="G306" s="77"/>
      <c r="H306" s="176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 spans="1:28" ht="14.4" customHeight="1" x14ac:dyDescent="0.25">
      <c r="A307" s="77"/>
      <c r="B307" s="77"/>
      <c r="C307" s="77"/>
      <c r="D307" s="77"/>
      <c r="E307" s="77"/>
      <c r="F307" s="77"/>
      <c r="G307" s="77"/>
      <c r="H307" s="176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 spans="1:28" ht="14.4" customHeight="1" x14ac:dyDescent="0.25">
      <c r="A308" s="77"/>
      <c r="B308" s="77"/>
      <c r="C308" s="77"/>
      <c r="D308" s="77"/>
      <c r="E308" s="77"/>
      <c r="F308" s="77"/>
      <c r="G308" s="77"/>
      <c r="H308" s="176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 spans="1:28" ht="14.4" customHeight="1" x14ac:dyDescent="0.25">
      <c r="A309" s="77"/>
      <c r="B309" s="77"/>
      <c r="C309" s="77"/>
      <c r="D309" s="77"/>
      <c r="E309" s="77"/>
      <c r="F309" s="77"/>
      <c r="G309" s="77"/>
      <c r="H309" s="176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 spans="1:28" ht="14.4" customHeight="1" x14ac:dyDescent="0.25">
      <c r="A310" s="77"/>
      <c r="B310" s="77"/>
      <c r="C310" s="77"/>
      <c r="D310" s="77"/>
      <c r="E310" s="77"/>
      <c r="F310" s="77"/>
      <c r="G310" s="77"/>
      <c r="H310" s="176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 spans="1:28" ht="14.4" customHeight="1" x14ac:dyDescent="0.25">
      <c r="A311" s="77"/>
      <c r="B311" s="77"/>
      <c r="C311" s="77"/>
      <c r="D311" s="77"/>
      <c r="E311" s="77"/>
      <c r="F311" s="77"/>
      <c r="G311" s="77"/>
      <c r="H311" s="176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 spans="1:28" ht="14.4" customHeight="1" x14ac:dyDescent="0.25">
      <c r="A312" s="77"/>
      <c r="B312" s="77"/>
      <c r="C312" s="77"/>
      <c r="D312" s="77"/>
      <c r="E312" s="77"/>
      <c r="F312" s="77"/>
      <c r="G312" s="77"/>
      <c r="H312" s="176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 spans="1:28" ht="14.4" customHeight="1" x14ac:dyDescent="0.25">
      <c r="A313" s="77"/>
      <c r="B313" s="77"/>
      <c r="C313" s="77"/>
      <c r="D313" s="77"/>
      <c r="E313" s="77"/>
      <c r="F313" s="77"/>
      <c r="G313" s="77"/>
      <c r="H313" s="176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 spans="1:28" ht="14.4" customHeight="1" x14ac:dyDescent="0.25">
      <c r="A314" s="77"/>
      <c r="B314" s="77"/>
      <c r="C314" s="77"/>
      <c r="D314" s="77"/>
      <c r="E314" s="77"/>
      <c r="F314" s="77"/>
      <c r="G314" s="77"/>
      <c r="H314" s="176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 spans="1:28" ht="14.4" customHeight="1" x14ac:dyDescent="0.25">
      <c r="A315" s="77"/>
      <c r="B315" s="77"/>
      <c r="C315" s="77"/>
      <c r="D315" s="77"/>
      <c r="E315" s="77"/>
      <c r="F315" s="77"/>
      <c r="G315" s="77"/>
      <c r="H315" s="176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 spans="1:28" ht="14.4" customHeight="1" x14ac:dyDescent="0.25">
      <c r="A316" s="77"/>
      <c r="B316" s="77"/>
      <c r="C316" s="77"/>
      <c r="D316" s="77"/>
      <c r="E316" s="77"/>
      <c r="F316" s="77"/>
      <c r="G316" s="77"/>
      <c r="H316" s="176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 spans="1:28" ht="14.4" customHeight="1" x14ac:dyDescent="0.25">
      <c r="A317" s="77"/>
      <c r="B317" s="77"/>
      <c r="C317" s="77"/>
      <c r="D317" s="77"/>
      <c r="E317" s="77"/>
      <c r="F317" s="77"/>
      <c r="G317" s="77"/>
      <c r="H317" s="176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 spans="1:28" ht="14.4" customHeight="1" x14ac:dyDescent="0.25">
      <c r="A318" s="77"/>
      <c r="B318" s="77"/>
      <c r="C318" s="77"/>
      <c r="D318" s="77"/>
      <c r="E318" s="77"/>
      <c r="F318" s="77"/>
      <c r="G318" s="77"/>
      <c r="H318" s="176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 spans="1:28" ht="14.4" customHeight="1" x14ac:dyDescent="0.25">
      <c r="A319" s="77"/>
      <c r="B319" s="77"/>
      <c r="C319" s="77"/>
      <c r="D319" s="77"/>
      <c r="E319" s="77"/>
      <c r="F319" s="77"/>
      <c r="G319" s="77"/>
      <c r="H319" s="176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 ht="14.4" customHeight="1" x14ac:dyDescent="0.25">
      <c r="A320" s="77"/>
      <c r="B320" s="77"/>
      <c r="C320" s="77"/>
      <c r="D320" s="77"/>
      <c r="E320" s="77"/>
      <c r="F320" s="77"/>
      <c r="G320" s="77"/>
      <c r="H320" s="176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 spans="1:28" ht="14.4" customHeight="1" x14ac:dyDescent="0.25">
      <c r="A321" s="77"/>
      <c r="B321" s="77"/>
      <c r="C321" s="77"/>
      <c r="D321" s="77"/>
      <c r="E321" s="77"/>
      <c r="F321" s="77"/>
      <c r="G321" s="77"/>
      <c r="H321" s="176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 spans="1:28" ht="14.4" customHeight="1" x14ac:dyDescent="0.25">
      <c r="A322" s="77"/>
      <c r="B322" s="77"/>
      <c r="C322" s="77"/>
      <c r="D322" s="77"/>
      <c r="E322" s="77"/>
      <c r="F322" s="77"/>
      <c r="G322" s="77"/>
      <c r="H322" s="176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 spans="1:28" ht="14.4" customHeight="1" x14ac:dyDescent="0.25">
      <c r="A323" s="77"/>
      <c r="B323" s="77"/>
      <c r="C323" s="77"/>
      <c r="D323" s="77"/>
      <c r="E323" s="77"/>
      <c r="F323" s="77"/>
      <c r="G323" s="77"/>
      <c r="H323" s="176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 spans="1:28" ht="14.4" customHeight="1" x14ac:dyDescent="0.25">
      <c r="A324" s="77"/>
      <c r="B324" s="77"/>
      <c r="C324" s="77"/>
      <c r="D324" s="77"/>
      <c r="E324" s="77"/>
      <c r="F324" s="77"/>
      <c r="G324" s="77"/>
      <c r="H324" s="176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 spans="1:28" ht="14.4" customHeight="1" x14ac:dyDescent="0.25">
      <c r="A325" s="77"/>
      <c r="B325" s="77"/>
      <c r="C325" s="77"/>
      <c r="D325" s="77"/>
      <c r="E325" s="77"/>
      <c r="F325" s="77"/>
      <c r="G325" s="77"/>
      <c r="H325" s="176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 spans="1:28" ht="14.4" customHeight="1" x14ac:dyDescent="0.25">
      <c r="A326" s="77"/>
      <c r="B326" s="77"/>
      <c r="C326" s="77"/>
      <c r="D326" s="77"/>
      <c r="E326" s="77"/>
      <c r="F326" s="77"/>
      <c r="G326" s="77"/>
      <c r="H326" s="176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 spans="1:28" ht="14.4" customHeight="1" x14ac:dyDescent="0.25">
      <c r="A327" s="77"/>
      <c r="B327" s="77"/>
      <c r="C327" s="77"/>
      <c r="D327" s="77"/>
      <c r="E327" s="77"/>
      <c r="F327" s="77"/>
      <c r="G327" s="77"/>
      <c r="H327" s="176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 spans="1:28" ht="14.4" customHeight="1" x14ac:dyDescent="0.25">
      <c r="A328" s="77"/>
      <c r="B328" s="77"/>
      <c r="C328" s="77"/>
      <c r="D328" s="77"/>
      <c r="E328" s="77"/>
      <c r="F328" s="77"/>
      <c r="G328" s="77"/>
      <c r="H328" s="176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 spans="1:28" ht="14.4" customHeight="1" x14ac:dyDescent="0.25">
      <c r="A329" s="77"/>
      <c r="B329" s="77"/>
      <c r="C329" s="77"/>
      <c r="D329" s="77"/>
      <c r="E329" s="77"/>
      <c r="F329" s="77"/>
      <c r="G329" s="77"/>
      <c r="H329" s="176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 spans="1:28" ht="14.4" customHeight="1" x14ac:dyDescent="0.25">
      <c r="A330" s="77"/>
      <c r="B330" s="77"/>
      <c r="C330" s="77"/>
      <c r="D330" s="77"/>
      <c r="E330" s="77"/>
      <c r="F330" s="77"/>
      <c r="G330" s="77"/>
      <c r="H330" s="176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 spans="1:28" ht="14.4" customHeight="1" x14ac:dyDescent="0.25">
      <c r="A331" s="77"/>
      <c r="B331" s="77"/>
      <c r="C331" s="77"/>
      <c r="D331" s="77"/>
      <c r="E331" s="77"/>
      <c r="F331" s="77"/>
      <c r="G331" s="77"/>
      <c r="H331" s="176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 spans="1:28" ht="14.4" customHeight="1" x14ac:dyDescent="0.25">
      <c r="A332" s="77"/>
      <c r="B332" s="77"/>
      <c r="C332" s="77"/>
      <c r="D332" s="77"/>
      <c r="E332" s="77"/>
      <c r="F332" s="77"/>
      <c r="G332" s="77"/>
      <c r="H332" s="176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 spans="1:28" ht="14.4" customHeight="1" x14ac:dyDescent="0.25">
      <c r="A333" s="77"/>
      <c r="B333" s="77"/>
      <c r="C333" s="77"/>
      <c r="D333" s="77"/>
      <c r="E333" s="77"/>
      <c r="F333" s="77"/>
      <c r="G333" s="77"/>
      <c r="H333" s="176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 spans="1:28" ht="14.4" customHeight="1" x14ac:dyDescent="0.25">
      <c r="A334" s="77"/>
      <c r="B334" s="77"/>
      <c r="C334" s="77"/>
      <c r="D334" s="77"/>
      <c r="E334" s="77"/>
      <c r="F334" s="77"/>
      <c r="G334" s="77"/>
      <c r="H334" s="176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ht="14.4" customHeight="1" x14ac:dyDescent="0.25">
      <c r="A335" s="77"/>
      <c r="B335" s="77"/>
      <c r="C335" s="77"/>
      <c r="D335" s="77"/>
      <c r="E335" s="77"/>
      <c r="F335" s="77"/>
      <c r="G335" s="77"/>
      <c r="H335" s="176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 spans="1:28" ht="14.4" customHeight="1" x14ac:dyDescent="0.25">
      <c r="A336" s="77"/>
      <c r="B336" s="77"/>
      <c r="C336" s="77"/>
      <c r="D336" s="77"/>
      <c r="E336" s="77"/>
      <c r="F336" s="77"/>
      <c r="G336" s="77"/>
      <c r="H336" s="176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 spans="1:28" ht="14.4" customHeight="1" x14ac:dyDescent="0.25">
      <c r="A337" s="77"/>
      <c r="B337" s="77"/>
      <c r="C337" s="77"/>
      <c r="D337" s="77"/>
      <c r="E337" s="77"/>
      <c r="F337" s="77"/>
      <c r="G337" s="77"/>
      <c r="H337" s="176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 spans="1:28" ht="14.4" customHeight="1" x14ac:dyDescent="0.25">
      <c r="A338" s="77"/>
      <c r="B338" s="77"/>
      <c r="C338" s="77"/>
      <c r="D338" s="77"/>
      <c r="E338" s="77"/>
      <c r="F338" s="77"/>
      <c r="G338" s="77"/>
      <c r="H338" s="176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 spans="1:28" ht="14.4" customHeight="1" x14ac:dyDescent="0.25">
      <c r="A339" s="77"/>
      <c r="B339" s="77"/>
      <c r="C339" s="77"/>
      <c r="D339" s="77"/>
      <c r="E339" s="77"/>
      <c r="F339" s="77"/>
      <c r="G339" s="77"/>
      <c r="H339" s="176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 spans="1:28" ht="14.4" customHeight="1" x14ac:dyDescent="0.25">
      <c r="A340" s="77"/>
      <c r="B340" s="77"/>
      <c r="C340" s="77"/>
      <c r="D340" s="77"/>
      <c r="E340" s="77"/>
      <c r="F340" s="77"/>
      <c r="G340" s="77"/>
      <c r="H340" s="176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 spans="1:28" ht="14.4" customHeight="1" x14ac:dyDescent="0.25">
      <c r="A341" s="77"/>
      <c r="B341" s="77"/>
      <c r="C341" s="77"/>
      <c r="D341" s="77"/>
      <c r="E341" s="77"/>
      <c r="F341" s="77"/>
      <c r="G341" s="77"/>
      <c r="H341" s="176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 spans="1:28" ht="14.4" customHeight="1" x14ac:dyDescent="0.25">
      <c r="A342" s="77"/>
      <c r="B342" s="77"/>
      <c r="C342" s="77"/>
      <c r="D342" s="77"/>
      <c r="E342" s="77"/>
      <c r="F342" s="77"/>
      <c r="G342" s="77"/>
      <c r="H342" s="176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 spans="1:28" ht="14.4" customHeight="1" x14ac:dyDescent="0.25">
      <c r="A343" s="77"/>
      <c r="B343" s="77"/>
      <c r="C343" s="77"/>
      <c r="D343" s="77"/>
      <c r="E343" s="77"/>
      <c r="F343" s="77"/>
      <c r="G343" s="77"/>
      <c r="H343" s="176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 spans="1:28" ht="14.4" customHeight="1" x14ac:dyDescent="0.25">
      <c r="A344" s="77"/>
      <c r="B344" s="77"/>
      <c r="C344" s="77"/>
      <c r="D344" s="77"/>
      <c r="E344" s="77"/>
      <c r="F344" s="77"/>
      <c r="G344" s="77"/>
      <c r="H344" s="176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 spans="1:28" ht="14.4" customHeight="1" x14ac:dyDescent="0.25">
      <c r="A345" s="77"/>
      <c r="B345" s="77"/>
      <c r="C345" s="77"/>
      <c r="D345" s="77"/>
      <c r="E345" s="77"/>
      <c r="F345" s="77"/>
      <c r="G345" s="77"/>
      <c r="H345" s="176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 spans="1:28" ht="14.4" customHeight="1" x14ac:dyDescent="0.25">
      <c r="A346" s="77"/>
      <c r="B346" s="77"/>
      <c r="C346" s="77"/>
      <c r="D346" s="77"/>
      <c r="E346" s="77"/>
      <c r="F346" s="77"/>
      <c r="G346" s="77"/>
      <c r="H346" s="176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 spans="1:28" ht="14.4" customHeight="1" x14ac:dyDescent="0.25">
      <c r="A347" s="77"/>
      <c r="B347" s="77"/>
      <c r="C347" s="77"/>
      <c r="D347" s="77"/>
      <c r="E347" s="77"/>
      <c r="F347" s="77"/>
      <c r="G347" s="77"/>
      <c r="H347" s="176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 spans="1:28" ht="14.4" customHeight="1" x14ac:dyDescent="0.25">
      <c r="A348" s="77"/>
      <c r="B348" s="77"/>
      <c r="C348" s="77"/>
      <c r="D348" s="77"/>
      <c r="E348" s="77"/>
      <c r="F348" s="77"/>
      <c r="G348" s="77"/>
      <c r="H348" s="176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 spans="1:28" ht="14.4" customHeight="1" x14ac:dyDescent="0.25">
      <c r="A349" s="77"/>
      <c r="B349" s="77"/>
      <c r="C349" s="77"/>
      <c r="D349" s="77"/>
      <c r="E349" s="77"/>
      <c r="F349" s="77"/>
      <c r="G349" s="77"/>
      <c r="H349" s="176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ht="14.4" customHeight="1" x14ac:dyDescent="0.25">
      <c r="A350" s="77"/>
      <c r="B350" s="77"/>
      <c r="C350" s="77"/>
      <c r="D350" s="77"/>
      <c r="E350" s="77"/>
      <c r="F350" s="77"/>
      <c r="G350" s="77"/>
      <c r="H350" s="176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 spans="1:28" ht="14.4" customHeight="1" x14ac:dyDescent="0.25">
      <c r="A351" s="77"/>
      <c r="B351" s="77"/>
      <c r="C351" s="77"/>
      <c r="D351" s="77"/>
      <c r="E351" s="77"/>
      <c r="F351" s="77"/>
      <c r="G351" s="77"/>
      <c r="H351" s="176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 spans="1:28" ht="14.4" customHeight="1" x14ac:dyDescent="0.25">
      <c r="A352" s="77"/>
      <c r="B352" s="77"/>
      <c r="C352" s="77"/>
      <c r="D352" s="77"/>
      <c r="E352" s="77"/>
      <c r="F352" s="77"/>
      <c r="G352" s="77"/>
      <c r="H352" s="176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 spans="1:28" ht="14.4" customHeight="1" x14ac:dyDescent="0.25">
      <c r="A353" s="77"/>
      <c r="B353" s="77"/>
      <c r="C353" s="77"/>
      <c r="D353" s="77"/>
      <c r="E353" s="77"/>
      <c r="F353" s="77"/>
      <c r="G353" s="77"/>
      <c r="H353" s="176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 spans="1:28" ht="14.4" customHeight="1" x14ac:dyDescent="0.25">
      <c r="A354" s="77"/>
      <c r="B354" s="77"/>
      <c r="C354" s="77"/>
      <c r="D354" s="77"/>
      <c r="E354" s="77"/>
      <c r="F354" s="77"/>
      <c r="G354" s="77"/>
      <c r="H354" s="176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 spans="1:28" ht="14.4" customHeight="1" x14ac:dyDescent="0.25">
      <c r="A355" s="77"/>
      <c r="B355" s="77"/>
      <c r="C355" s="77"/>
      <c r="D355" s="77"/>
      <c r="E355" s="77"/>
      <c r="F355" s="77"/>
      <c r="G355" s="77"/>
      <c r="H355" s="176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 spans="1:28" ht="14.4" customHeight="1" x14ac:dyDescent="0.25">
      <c r="A356" s="77"/>
      <c r="B356" s="77"/>
      <c r="C356" s="77"/>
      <c r="D356" s="77"/>
      <c r="E356" s="77"/>
      <c r="F356" s="77"/>
      <c r="G356" s="77"/>
      <c r="H356" s="176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 spans="1:28" ht="14.4" customHeight="1" x14ac:dyDescent="0.25">
      <c r="A357" s="77"/>
      <c r="B357" s="77"/>
      <c r="C357" s="77"/>
      <c r="D357" s="77"/>
      <c r="E357" s="77"/>
      <c r="F357" s="77"/>
      <c r="G357" s="77"/>
      <c r="H357" s="176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 spans="1:28" ht="14.4" customHeight="1" x14ac:dyDescent="0.25">
      <c r="A358" s="77"/>
      <c r="B358" s="77"/>
      <c r="C358" s="77"/>
      <c r="D358" s="77"/>
      <c r="E358" s="77"/>
      <c r="F358" s="77"/>
      <c r="G358" s="77"/>
      <c r="H358" s="176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 spans="1:28" ht="14.4" customHeight="1" x14ac:dyDescent="0.25">
      <c r="A359" s="77"/>
      <c r="B359" s="77"/>
      <c r="C359" s="77"/>
      <c r="D359" s="77"/>
      <c r="E359" s="77"/>
      <c r="F359" s="77"/>
      <c r="G359" s="77"/>
      <c r="H359" s="176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 spans="1:28" ht="14.4" customHeight="1" x14ac:dyDescent="0.25">
      <c r="A360" s="77"/>
      <c r="B360" s="77"/>
      <c r="C360" s="77"/>
      <c r="D360" s="77"/>
      <c r="E360" s="77"/>
      <c r="F360" s="77"/>
      <c r="G360" s="77"/>
      <c r="H360" s="176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 spans="1:28" ht="14.4" customHeight="1" x14ac:dyDescent="0.25">
      <c r="A361" s="77"/>
      <c r="B361" s="77"/>
      <c r="C361" s="77"/>
      <c r="D361" s="77"/>
      <c r="E361" s="77"/>
      <c r="F361" s="77"/>
      <c r="G361" s="77"/>
      <c r="H361" s="176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 spans="1:28" ht="14.4" customHeight="1" x14ac:dyDescent="0.25">
      <c r="A362" s="77"/>
      <c r="B362" s="77"/>
      <c r="C362" s="77"/>
      <c r="D362" s="77"/>
      <c r="E362" s="77"/>
      <c r="F362" s="77"/>
      <c r="G362" s="77"/>
      <c r="H362" s="176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 spans="1:28" ht="14.4" customHeight="1" x14ac:dyDescent="0.25">
      <c r="A363" s="77"/>
      <c r="B363" s="77"/>
      <c r="C363" s="77"/>
      <c r="D363" s="77"/>
      <c r="E363" s="77"/>
      <c r="F363" s="77"/>
      <c r="G363" s="77"/>
      <c r="H363" s="176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 spans="1:28" ht="14.4" customHeight="1" x14ac:dyDescent="0.25">
      <c r="A364" s="77"/>
      <c r="B364" s="77"/>
      <c r="C364" s="77"/>
      <c r="D364" s="77"/>
      <c r="E364" s="77"/>
      <c r="F364" s="77"/>
      <c r="G364" s="77"/>
      <c r="H364" s="176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 spans="1:28" ht="14.4" customHeight="1" x14ac:dyDescent="0.25">
      <c r="A365" s="77"/>
      <c r="B365" s="77"/>
      <c r="C365" s="77"/>
      <c r="D365" s="77"/>
      <c r="E365" s="77"/>
      <c r="F365" s="77"/>
      <c r="G365" s="77"/>
      <c r="H365" s="176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 spans="1:28" ht="14.4" customHeight="1" x14ac:dyDescent="0.25">
      <c r="A366" s="77"/>
      <c r="B366" s="77"/>
      <c r="C366" s="77"/>
      <c r="D366" s="77"/>
      <c r="E366" s="77"/>
      <c r="F366" s="77"/>
      <c r="G366" s="77"/>
      <c r="H366" s="176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 spans="1:28" ht="14.4" customHeight="1" x14ac:dyDescent="0.25">
      <c r="A367" s="77"/>
      <c r="B367" s="77"/>
      <c r="C367" s="77"/>
      <c r="D367" s="77"/>
      <c r="E367" s="77"/>
      <c r="F367" s="77"/>
      <c r="G367" s="77"/>
      <c r="H367" s="176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 spans="1:28" ht="14.4" customHeight="1" x14ac:dyDescent="0.25">
      <c r="A368" s="77"/>
      <c r="B368" s="77"/>
      <c r="C368" s="77"/>
      <c r="D368" s="77"/>
      <c r="E368" s="77"/>
      <c r="F368" s="77"/>
      <c r="G368" s="77"/>
      <c r="H368" s="176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 spans="1:28" ht="14.4" customHeight="1" x14ac:dyDescent="0.25">
      <c r="A369" s="77"/>
      <c r="B369" s="77"/>
      <c r="C369" s="77"/>
      <c r="D369" s="77"/>
      <c r="E369" s="77"/>
      <c r="F369" s="77"/>
      <c r="G369" s="77"/>
      <c r="H369" s="176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 spans="1:28" ht="14.4" customHeight="1" x14ac:dyDescent="0.25">
      <c r="A370" s="77"/>
      <c r="B370" s="77"/>
      <c r="C370" s="77"/>
      <c r="D370" s="77"/>
      <c r="E370" s="77"/>
      <c r="F370" s="77"/>
      <c r="G370" s="77"/>
      <c r="H370" s="176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 spans="1:28" ht="14.4" customHeight="1" x14ac:dyDescent="0.25">
      <c r="A371" s="77"/>
      <c r="B371" s="77"/>
      <c r="C371" s="77"/>
      <c r="D371" s="77"/>
      <c r="E371" s="77"/>
      <c r="F371" s="77"/>
      <c r="G371" s="77"/>
      <c r="H371" s="176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 spans="1:28" ht="14.4" customHeight="1" x14ac:dyDescent="0.25">
      <c r="A372" s="77"/>
      <c r="B372" s="77"/>
      <c r="C372" s="77"/>
      <c r="D372" s="77"/>
      <c r="E372" s="77"/>
      <c r="F372" s="77"/>
      <c r="G372" s="77"/>
      <c r="H372" s="176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 spans="1:28" ht="14.4" customHeight="1" x14ac:dyDescent="0.25">
      <c r="A373" s="77"/>
      <c r="B373" s="77"/>
      <c r="C373" s="77"/>
      <c r="D373" s="77"/>
      <c r="E373" s="77"/>
      <c r="F373" s="77"/>
      <c r="G373" s="77"/>
      <c r="H373" s="176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 spans="1:28" ht="14.4" customHeight="1" x14ac:dyDescent="0.25">
      <c r="A374" s="77"/>
      <c r="B374" s="77"/>
      <c r="C374" s="77"/>
      <c r="D374" s="77"/>
      <c r="E374" s="77"/>
      <c r="F374" s="77"/>
      <c r="G374" s="77"/>
      <c r="H374" s="176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 spans="1:28" ht="14.4" customHeight="1" x14ac:dyDescent="0.25">
      <c r="A375" s="77"/>
      <c r="B375" s="77"/>
      <c r="C375" s="77"/>
      <c r="D375" s="77"/>
      <c r="E375" s="77"/>
      <c r="F375" s="77"/>
      <c r="G375" s="77"/>
      <c r="H375" s="176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 spans="1:28" ht="14.4" customHeight="1" x14ac:dyDescent="0.25">
      <c r="A376" s="77"/>
      <c r="B376" s="77"/>
      <c r="C376" s="77"/>
      <c r="D376" s="77"/>
      <c r="E376" s="77"/>
      <c r="F376" s="77"/>
      <c r="G376" s="77"/>
      <c r="H376" s="176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 spans="1:28" ht="14.4" customHeight="1" x14ac:dyDescent="0.25">
      <c r="A377" s="77"/>
      <c r="B377" s="77"/>
      <c r="C377" s="77"/>
      <c r="D377" s="77"/>
      <c r="E377" s="77"/>
      <c r="F377" s="77"/>
      <c r="G377" s="77"/>
      <c r="H377" s="176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 spans="1:28" ht="14.4" customHeight="1" x14ac:dyDescent="0.25">
      <c r="A378" s="77"/>
      <c r="B378" s="77"/>
      <c r="C378" s="77"/>
      <c r="D378" s="77"/>
      <c r="E378" s="77"/>
      <c r="F378" s="77"/>
      <c r="G378" s="77"/>
      <c r="H378" s="176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 spans="1:28" ht="14.4" customHeight="1" x14ac:dyDescent="0.25">
      <c r="A379" s="77"/>
      <c r="B379" s="77"/>
      <c r="C379" s="77"/>
      <c r="D379" s="77"/>
      <c r="E379" s="77"/>
      <c r="F379" s="77"/>
      <c r="G379" s="77"/>
      <c r="H379" s="176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 spans="1:28" ht="14.4" customHeight="1" x14ac:dyDescent="0.25">
      <c r="A380" s="77"/>
      <c r="B380" s="77"/>
      <c r="C380" s="77"/>
      <c r="D380" s="77"/>
      <c r="E380" s="77"/>
      <c r="F380" s="77"/>
      <c r="G380" s="77"/>
      <c r="H380" s="176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 spans="1:28" ht="14.4" customHeight="1" x14ac:dyDescent="0.25">
      <c r="A381" s="77"/>
      <c r="B381" s="77"/>
      <c r="C381" s="77"/>
      <c r="D381" s="77"/>
      <c r="E381" s="77"/>
      <c r="F381" s="77"/>
      <c r="G381" s="77"/>
      <c r="H381" s="176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 spans="1:28" ht="14.4" customHeight="1" x14ac:dyDescent="0.25">
      <c r="A382" s="77"/>
      <c r="B382" s="77"/>
      <c r="C382" s="77"/>
      <c r="D382" s="77"/>
      <c r="E382" s="77"/>
      <c r="F382" s="77"/>
      <c r="G382" s="77"/>
      <c r="H382" s="176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 spans="1:28" ht="14.4" customHeight="1" x14ac:dyDescent="0.25">
      <c r="A383" s="77"/>
      <c r="B383" s="77"/>
      <c r="C383" s="77"/>
      <c r="D383" s="77"/>
      <c r="E383" s="77"/>
      <c r="F383" s="77"/>
      <c r="G383" s="77"/>
      <c r="H383" s="176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 spans="1:28" ht="14.4" customHeight="1" x14ac:dyDescent="0.25">
      <c r="A384" s="77"/>
      <c r="B384" s="77"/>
      <c r="C384" s="77"/>
      <c r="D384" s="77"/>
      <c r="E384" s="77"/>
      <c r="F384" s="77"/>
      <c r="G384" s="77"/>
      <c r="H384" s="176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 spans="1:28" ht="14.4" customHeight="1" x14ac:dyDescent="0.25">
      <c r="A385" s="77"/>
      <c r="B385" s="77"/>
      <c r="C385" s="77"/>
      <c r="D385" s="77"/>
      <c r="E385" s="77"/>
      <c r="F385" s="77"/>
      <c r="G385" s="77"/>
      <c r="H385" s="176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 spans="1:28" ht="14.4" customHeight="1" x14ac:dyDescent="0.25">
      <c r="A386" s="77"/>
      <c r="B386" s="77"/>
      <c r="C386" s="77"/>
      <c r="D386" s="77"/>
      <c r="E386" s="77"/>
      <c r="F386" s="77"/>
      <c r="G386" s="77"/>
      <c r="H386" s="176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 spans="1:28" ht="14.4" customHeight="1" x14ac:dyDescent="0.25">
      <c r="A387" s="77"/>
      <c r="B387" s="77"/>
      <c r="C387" s="77"/>
      <c r="D387" s="77"/>
      <c r="E387" s="77"/>
      <c r="F387" s="77"/>
      <c r="G387" s="77"/>
      <c r="H387" s="176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 spans="1:28" ht="14.4" customHeight="1" x14ac:dyDescent="0.25">
      <c r="A388" s="77"/>
      <c r="B388" s="77"/>
      <c r="C388" s="77"/>
      <c r="D388" s="77"/>
      <c r="E388" s="77"/>
      <c r="F388" s="77"/>
      <c r="G388" s="77"/>
      <c r="H388" s="176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 spans="1:28" ht="14.4" customHeight="1" x14ac:dyDescent="0.25">
      <c r="A389" s="77"/>
      <c r="B389" s="77"/>
      <c r="C389" s="77"/>
      <c r="D389" s="77"/>
      <c r="E389" s="77"/>
      <c r="F389" s="77"/>
      <c r="G389" s="77"/>
      <c r="H389" s="176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 spans="1:28" ht="14.4" customHeight="1" x14ac:dyDescent="0.25">
      <c r="A390" s="77"/>
      <c r="B390" s="77"/>
      <c r="C390" s="77"/>
      <c r="D390" s="77"/>
      <c r="E390" s="77"/>
      <c r="F390" s="77"/>
      <c r="G390" s="77"/>
      <c r="H390" s="176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 spans="1:28" ht="14.4" customHeight="1" x14ac:dyDescent="0.25">
      <c r="A391" s="77"/>
      <c r="B391" s="77"/>
      <c r="C391" s="77"/>
      <c r="D391" s="77"/>
      <c r="E391" s="77"/>
      <c r="F391" s="77"/>
      <c r="G391" s="77"/>
      <c r="H391" s="176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 spans="1:28" ht="14.4" customHeight="1" x14ac:dyDescent="0.25">
      <c r="A392" s="77"/>
      <c r="B392" s="77"/>
      <c r="C392" s="77"/>
      <c r="D392" s="77"/>
      <c r="E392" s="77"/>
      <c r="F392" s="77"/>
      <c r="G392" s="77"/>
      <c r="H392" s="176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 spans="1:28" ht="14.4" customHeight="1" x14ac:dyDescent="0.25">
      <c r="A393" s="77"/>
      <c r="B393" s="77"/>
      <c r="C393" s="77"/>
      <c r="D393" s="77"/>
      <c r="E393" s="77"/>
      <c r="F393" s="77"/>
      <c r="G393" s="77"/>
      <c r="H393" s="176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 spans="1:28" ht="14.4" customHeight="1" x14ac:dyDescent="0.25">
      <c r="A394" s="77"/>
      <c r="B394" s="77"/>
      <c r="C394" s="77"/>
      <c r="D394" s="77"/>
      <c r="E394" s="77"/>
      <c r="F394" s="77"/>
      <c r="G394" s="77"/>
      <c r="H394" s="176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 spans="1:28" ht="14.4" customHeight="1" x14ac:dyDescent="0.25">
      <c r="A395" s="77"/>
      <c r="B395" s="77"/>
      <c r="C395" s="77"/>
      <c r="D395" s="77"/>
      <c r="E395" s="77"/>
      <c r="F395" s="77"/>
      <c r="G395" s="77"/>
      <c r="H395" s="176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 spans="1:28" ht="14.4" customHeight="1" x14ac:dyDescent="0.25">
      <c r="A396" s="77"/>
      <c r="B396" s="77"/>
      <c r="C396" s="77"/>
      <c r="D396" s="77"/>
      <c r="E396" s="77"/>
      <c r="F396" s="77"/>
      <c r="G396" s="77"/>
      <c r="H396" s="176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 spans="1:28" ht="14.4" customHeight="1" x14ac:dyDescent="0.25">
      <c r="A397" s="77"/>
      <c r="B397" s="77"/>
      <c r="C397" s="77"/>
      <c r="D397" s="77"/>
      <c r="E397" s="77"/>
      <c r="F397" s="77"/>
      <c r="G397" s="77"/>
      <c r="H397" s="176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 spans="1:28" ht="14.4" customHeight="1" x14ac:dyDescent="0.25">
      <c r="A398" s="77"/>
      <c r="B398" s="77"/>
      <c r="C398" s="77"/>
      <c r="D398" s="77"/>
      <c r="E398" s="77"/>
      <c r="F398" s="77"/>
      <c r="G398" s="77"/>
      <c r="H398" s="176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 spans="1:28" ht="14.4" customHeight="1" x14ac:dyDescent="0.25">
      <c r="A399" s="77"/>
      <c r="B399" s="77"/>
      <c r="C399" s="77"/>
      <c r="D399" s="77"/>
      <c r="E399" s="77"/>
      <c r="F399" s="77"/>
      <c r="G399" s="77"/>
      <c r="H399" s="176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 spans="1:28" ht="14.4" customHeight="1" x14ac:dyDescent="0.25">
      <c r="A400" s="77"/>
      <c r="B400" s="77"/>
      <c r="C400" s="77"/>
      <c r="D400" s="77"/>
      <c r="E400" s="77"/>
      <c r="F400" s="77"/>
      <c r="G400" s="77"/>
      <c r="H400" s="176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 spans="1:28" ht="14.4" customHeight="1" x14ac:dyDescent="0.25">
      <c r="A401" s="77"/>
      <c r="B401" s="77"/>
      <c r="C401" s="77"/>
      <c r="D401" s="77"/>
      <c r="E401" s="77"/>
      <c r="F401" s="77"/>
      <c r="G401" s="77"/>
      <c r="H401" s="176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 spans="1:28" ht="14.4" customHeight="1" x14ac:dyDescent="0.25">
      <c r="A402" s="77"/>
      <c r="B402" s="77"/>
      <c r="C402" s="77"/>
      <c r="D402" s="77"/>
      <c r="E402" s="77"/>
      <c r="F402" s="77"/>
      <c r="G402" s="77"/>
      <c r="H402" s="176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 spans="1:28" ht="14.4" customHeight="1" x14ac:dyDescent="0.25">
      <c r="A403" s="77"/>
      <c r="B403" s="77"/>
      <c r="C403" s="77"/>
      <c r="D403" s="77"/>
      <c r="E403" s="77"/>
      <c r="F403" s="77"/>
      <c r="G403" s="77"/>
      <c r="H403" s="176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 spans="1:28" ht="14.4" customHeight="1" x14ac:dyDescent="0.25">
      <c r="A404" s="77"/>
      <c r="B404" s="77"/>
      <c r="C404" s="77"/>
      <c r="D404" s="77"/>
      <c r="E404" s="77"/>
      <c r="F404" s="77"/>
      <c r="G404" s="77"/>
      <c r="H404" s="176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 spans="1:28" ht="14.4" customHeight="1" x14ac:dyDescent="0.25">
      <c r="A405" s="77"/>
      <c r="B405" s="77"/>
      <c r="C405" s="77"/>
      <c r="D405" s="77"/>
      <c r="E405" s="77"/>
      <c r="F405" s="77"/>
      <c r="G405" s="77"/>
      <c r="H405" s="176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 spans="1:28" ht="14.4" customHeight="1" x14ac:dyDescent="0.25">
      <c r="A406" s="77"/>
      <c r="B406" s="77"/>
      <c r="C406" s="77"/>
      <c r="D406" s="77"/>
      <c r="E406" s="77"/>
      <c r="F406" s="77"/>
      <c r="G406" s="77"/>
      <c r="H406" s="176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 spans="1:28" ht="14.4" customHeight="1" x14ac:dyDescent="0.25">
      <c r="A407" s="77"/>
      <c r="B407" s="77"/>
      <c r="C407" s="77"/>
      <c r="D407" s="77"/>
      <c r="E407" s="77"/>
      <c r="F407" s="77"/>
      <c r="G407" s="77"/>
      <c r="H407" s="176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 spans="1:28" ht="14.4" customHeight="1" x14ac:dyDescent="0.25">
      <c r="A408" s="77"/>
      <c r="B408" s="77"/>
      <c r="C408" s="77"/>
      <c r="D408" s="77"/>
      <c r="E408" s="77"/>
      <c r="F408" s="77"/>
      <c r="G408" s="77"/>
      <c r="H408" s="176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 spans="1:28" ht="14.4" customHeight="1" x14ac:dyDescent="0.25">
      <c r="A409" s="77"/>
      <c r="B409" s="77"/>
      <c r="C409" s="77"/>
      <c r="D409" s="77"/>
      <c r="E409" s="77"/>
      <c r="F409" s="77"/>
      <c r="G409" s="77"/>
      <c r="H409" s="176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 spans="1:28" ht="14.4" customHeight="1" x14ac:dyDescent="0.25">
      <c r="A410" s="77"/>
      <c r="B410" s="77"/>
      <c r="C410" s="77"/>
      <c r="D410" s="77"/>
      <c r="E410" s="77"/>
      <c r="F410" s="77"/>
      <c r="G410" s="77"/>
      <c r="H410" s="176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 spans="1:28" ht="14.4" customHeight="1" x14ac:dyDescent="0.25">
      <c r="A411" s="77"/>
      <c r="B411" s="77"/>
      <c r="C411" s="77"/>
      <c r="D411" s="77"/>
      <c r="E411" s="77"/>
      <c r="F411" s="77"/>
      <c r="G411" s="77"/>
      <c r="H411" s="176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 spans="1:28" ht="14.4" customHeight="1" x14ac:dyDescent="0.25">
      <c r="A412" s="77"/>
      <c r="B412" s="77"/>
      <c r="C412" s="77"/>
      <c r="D412" s="77"/>
      <c r="E412" s="77"/>
      <c r="F412" s="77"/>
      <c r="G412" s="77"/>
      <c r="H412" s="176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 spans="1:28" ht="14.4" customHeight="1" x14ac:dyDescent="0.25">
      <c r="A413" s="77"/>
      <c r="B413" s="77"/>
      <c r="C413" s="77"/>
      <c r="D413" s="77"/>
      <c r="E413" s="77"/>
      <c r="F413" s="77"/>
      <c r="G413" s="77"/>
      <c r="H413" s="176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 spans="1:28" ht="14.4" customHeight="1" x14ac:dyDescent="0.25">
      <c r="A414" s="77"/>
      <c r="B414" s="77"/>
      <c r="C414" s="77"/>
      <c r="D414" s="77"/>
      <c r="E414" s="77"/>
      <c r="F414" s="77"/>
      <c r="G414" s="77"/>
      <c r="H414" s="176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 spans="1:28" ht="14.4" customHeight="1" x14ac:dyDescent="0.25">
      <c r="A415" s="77"/>
      <c r="B415" s="77"/>
      <c r="C415" s="77"/>
      <c r="D415" s="77"/>
      <c r="E415" s="77"/>
      <c r="F415" s="77"/>
      <c r="G415" s="77"/>
      <c r="H415" s="176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 spans="1:28" ht="14.4" customHeight="1" x14ac:dyDescent="0.25">
      <c r="A416" s="77"/>
      <c r="B416" s="77"/>
      <c r="C416" s="77"/>
      <c r="D416" s="77"/>
      <c r="E416" s="77"/>
      <c r="F416" s="77"/>
      <c r="G416" s="77"/>
      <c r="H416" s="176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 spans="1:28" ht="14.4" customHeight="1" x14ac:dyDescent="0.25">
      <c r="A417" s="77"/>
      <c r="B417" s="77"/>
      <c r="C417" s="77"/>
      <c r="D417" s="77"/>
      <c r="E417" s="77"/>
      <c r="F417" s="77"/>
      <c r="G417" s="77"/>
      <c r="H417" s="176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 spans="1:28" ht="14.4" customHeight="1" x14ac:dyDescent="0.25">
      <c r="A418" s="77"/>
      <c r="B418" s="77"/>
      <c r="C418" s="77"/>
      <c r="D418" s="77"/>
      <c r="E418" s="77"/>
      <c r="F418" s="77"/>
      <c r="G418" s="77"/>
      <c r="H418" s="176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 spans="1:28" ht="14.4" customHeight="1" x14ac:dyDescent="0.25">
      <c r="A419" s="77"/>
      <c r="B419" s="77"/>
      <c r="C419" s="77"/>
      <c r="D419" s="77"/>
      <c r="E419" s="77"/>
      <c r="F419" s="77"/>
      <c r="G419" s="77"/>
      <c r="H419" s="176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 spans="1:28" ht="14.4" customHeight="1" x14ac:dyDescent="0.25">
      <c r="A420" s="77"/>
      <c r="B420" s="77"/>
      <c r="C420" s="77"/>
      <c r="D420" s="77"/>
      <c r="E420" s="77"/>
      <c r="F420" s="77"/>
      <c r="G420" s="77"/>
      <c r="H420" s="176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 spans="1:28" ht="14.4" customHeight="1" x14ac:dyDescent="0.25">
      <c r="A421" s="77"/>
      <c r="B421" s="77"/>
      <c r="C421" s="77"/>
      <c r="D421" s="77"/>
      <c r="E421" s="77"/>
      <c r="F421" s="77"/>
      <c r="G421" s="77"/>
      <c r="H421" s="176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 spans="1:28" ht="14.4" customHeight="1" x14ac:dyDescent="0.25">
      <c r="A422" s="77"/>
      <c r="B422" s="77"/>
      <c r="C422" s="77"/>
      <c r="D422" s="77"/>
      <c r="E422" s="77"/>
      <c r="F422" s="77"/>
      <c r="G422" s="77"/>
      <c r="H422" s="176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 spans="1:28" ht="14.4" customHeight="1" x14ac:dyDescent="0.25">
      <c r="A423" s="77"/>
      <c r="B423" s="77"/>
      <c r="C423" s="77"/>
      <c r="D423" s="77"/>
      <c r="E423" s="77"/>
      <c r="F423" s="77"/>
      <c r="G423" s="77"/>
      <c r="H423" s="176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 spans="1:28" ht="14.4" customHeight="1" x14ac:dyDescent="0.25">
      <c r="A424" s="77"/>
      <c r="B424" s="77"/>
      <c r="C424" s="77"/>
      <c r="D424" s="77"/>
      <c r="E424" s="77"/>
      <c r="F424" s="77"/>
      <c r="G424" s="77"/>
      <c r="H424" s="176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 spans="1:28" ht="14.4" customHeight="1" x14ac:dyDescent="0.25">
      <c r="A425" s="77"/>
      <c r="B425" s="77"/>
      <c r="C425" s="77"/>
      <c r="D425" s="77"/>
      <c r="E425" s="77"/>
      <c r="F425" s="77"/>
      <c r="G425" s="77"/>
      <c r="H425" s="176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 spans="1:28" ht="14.4" customHeight="1" x14ac:dyDescent="0.25">
      <c r="A426" s="77"/>
      <c r="B426" s="77"/>
      <c r="C426" s="77"/>
      <c r="D426" s="77"/>
      <c r="E426" s="77"/>
      <c r="F426" s="77"/>
      <c r="G426" s="77"/>
      <c r="H426" s="176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 spans="1:28" ht="14.4" customHeight="1" x14ac:dyDescent="0.25">
      <c r="A427" s="77"/>
      <c r="B427" s="77"/>
      <c r="C427" s="77"/>
      <c r="D427" s="77"/>
      <c r="E427" s="77"/>
      <c r="F427" s="77"/>
      <c r="G427" s="77"/>
      <c r="H427" s="176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 spans="1:28" ht="14.4" customHeight="1" x14ac:dyDescent="0.25">
      <c r="A428" s="77"/>
      <c r="B428" s="77"/>
      <c r="C428" s="77"/>
      <c r="D428" s="77"/>
      <c r="E428" s="77"/>
      <c r="F428" s="77"/>
      <c r="G428" s="77"/>
      <c r="H428" s="176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 spans="1:28" ht="14.4" customHeight="1" x14ac:dyDescent="0.25">
      <c r="A429" s="77"/>
      <c r="B429" s="77"/>
      <c r="C429" s="77"/>
      <c r="D429" s="77"/>
      <c r="E429" s="77"/>
      <c r="F429" s="77"/>
      <c r="G429" s="77"/>
      <c r="H429" s="176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 spans="1:28" ht="14.4" customHeight="1" x14ac:dyDescent="0.25">
      <c r="A430" s="77"/>
      <c r="B430" s="77"/>
      <c r="C430" s="77"/>
      <c r="D430" s="77"/>
      <c r="E430" s="77"/>
      <c r="F430" s="77"/>
      <c r="G430" s="77"/>
      <c r="H430" s="176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 spans="1:28" ht="14.4" customHeight="1" x14ac:dyDescent="0.25">
      <c r="A431" s="77"/>
      <c r="B431" s="77"/>
      <c r="C431" s="77"/>
      <c r="D431" s="77"/>
      <c r="E431" s="77"/>
      <c r="F431" s="77"/>
      <c r="G431" s="77"/>
      <c r="H431" s="176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 spans="1:28" ht="14.4" customHeight="1" x14ac:dyDescent="0.25">
      <c r="A432" s="77"/>
      <c r="B432" s="77"/>
      <c r="C432" s="77"/>
      <c r="D432" s="77"/>
      <c r="E432" s="77"/>
      <c r="F432" s="77"/>
      <c r="G432" s="77"/>
      <c r="H432" s="176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 spans="1:28" ht="14.4" customHeight="1" x14ac:dyDescent="0.25">
      <c r="A433" s="77"/>
      <c r="B433" s="77"/>
      <c r="C433" s="77"/>
      <c r="D433" s="77"/>
      <c r="E433" s="77"/>
      <c r="F433" s="77"/>
      <c r="G433" s="77"/>
      <c r="H433" s="176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 spans="1:28" ht="14.4" customHeight="1" x14ac:dyDescent="0.25">
      <c r="A434" s="77"/>
      <c r="B434" s="77"/>
      <c r="C434" s="77"/>
      <c r="D434" s="77"/>
      <c r="E434" s="77"/>
      <c r="F434" s="77"/>
      <c r="G434" s="77"/>
      <c r="H434" s="176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 spans="1:28" ht="14.4" customHeight="1" x14ac:dyDescent="0.25">
      <c r="A435" s="77"/>
      <c r="B435" s="77"/>
      <c r="C435" s="77"/>
      <c r="D435" s="77"/>
      <c r="E435" s="77"/>
      <c r="F435" s="77"/>
      <c r="G435" s="77"/>
      <c r="H435" s="176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 spans="1:28" ht="14.4" customHeight="1" x14ac:dyDescent="0.25">
      <c r="A436" s="77"/>
      <c r="B436" s="77"/>
      <c r="C436" s="77"/>
      <c r="D436" s="77"/>
      <c r="E436" s="77"/>
      <c r="F436" s="77"/>
      <c r="G436" s="77"/>
      <c r="H436" s="176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 spans="1:28" ht="14.4" customHeight="1" x14ac:dyDescent="0.25">
      <c r="A437" s="77"/>
      <c r="B437" s="77"/>
      <c r="C437" s="77"/>
      <c r="D437" s="77"/>
      <c r="E437" s="77"/>
      <c r="F437" s="77"/>
      <c r="G437" s="77"/>
      <c r="H437" s="176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 spans="1:28" ht="14.4" customHeight="1" x14ac:dyDescent="0.25">
      <c r="A438" s="77"/>
      <c r="B438" s="77"/>
      <c r="C438" s="77"/>
      <c r="D438" s="77"/>
      <c r="E438" s="77"/>
      <c r="F438" s="77"/>
      <c r="G438" s="77"/>
      <c r="H438" s="176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 spans="1:28" ht="14.4" customHeight="1" x14ac:dyDescent="0.25">
      <c r="A439" s="77"/>
      <c r="B439" s="77"/>
      <c r="C439" s="77"/>
      <c r="D439" s="77"/>
      <c r="E439" s="77"/>
      <c r="F439" s="77"/>
      <c r="G439" s="77"/>
      <c r="H439" s="176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 spans="1:28" ht="14.4" customHeight="1" x14ac:dyDescent="0.25">
      <c r="A440" s="77"/>
      <c r="B440" s="77"/>
      <c r="C440" s="77"/>
      <c r="D440" s="77"/>
      <c r="E440" s="77"/>
      <c r="F440" s="77"/>
      <c r="G440" s="77"/>
      <c r="H440" s="176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 spans="1:28" ht="14.4" customHeight="1" x14ac:dyDescent="0.25">
      <c r="A441" s="77"/>
      <c r="B441" s="77"/>
      <c r="C441" s="77"/>
      <c r="D441" s="77"/>
      <c r="E441" s="77"/>
      <c r="F441" s="77"/>
      <c r="G441" s="77"/>
      <c r="H441" s="176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 spans="1:28" ht="14.4" customHeight="1" x14ac:dyDescent="0.25">
      <c r="A442" s="77"/>
      <c r="B442" s="77"/>
      <c r="C442" s="77"/>
      <c r="D442" s="77"/>
      <c r="E442" s="77"/>
      <c r="F442" s="77"/>
      <c r="G442" s="77"/>
      <c r="H442" s="176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 spans="1:28" ht="14.4" customHeight="1" x14ac:dyDescent="0.25">
      <c r="A443" s="77"/>
      <c r="B443" s="77"/>
      <c r="C443" s="77"/>
      <c r="D443" s="77"/>
      <c r="E443" s="77"/>
      <c r="F443" s="77"/>
      <c r="G443" s="77"/>
      <c r="H443" s="176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 spans="1:28" ht="14.4" customHeight="1" x14ac:dyDescent="0.25">
      <c r="A444" s="77"/>
      <c r="B444" s="77"/>
      <c r="C444" s="77"/>
      <c r="D444" s="77"/>
      <c r="E444" s="77"/>
      <c r="F444" s="77"/>
      <c r="G444" s="77"/>
      <c r="H444" s="176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 spans="1:28" ht="14.4" customHeight="1" x14ac:dyDescent="0.25">
      <c r="A445" s="77"/>
      <c r="B445" s="77"/>
      <c r="C445" s="77"/>
      <c r="D445" s="77"/>
      <c r="E445" s="77"/>
      <c r="F445" s="77"/>
      <c r="G445" s="77"/>
      <c r="H445" s="176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 spans="1:28" ht="14.4" customHeight="1" x14ac:dyDescent="0.25">
      <c r="A446" s="77"/>
      <c r="B446" s="77"/>
      <c r="C446" s="77"/>
      <c r="D446" s="77"/>
      <c r="E446" s="77"/>
      <c r="F446" s="77"/>
      <c r="G446" s="77"/>
      <c r="H446" s="176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 spans="1:28" ht="14.4" customHeight="1" x14ac:dyDescent="0.25">
      <c r="A447" s="77"/>
      <c r="B447" s="77"/>
      <c r="C447" s="77"/>
      <c r="D447" s="77"/>
      <c r="E447" s="77"/>
      <c r="F447" s="77"/>
      <c r="G447" s="77"/>
      <c r="H447" s="176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 spans="1:28" ht="14.4" customHeight="1" x14ac:dyDescent="0.25">
      <c r="A448" s="77"/>
      <c r="B448" s="77"/>
      <c r="C448" s="77"/>
      <c r="D448" s="77"/>
      <c r="E448" s="77"/>
      <c r="F448" s="77"/>
      <c r="G448" s="77"/>
      <c r="H448" s="176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 spans="1:28" ht="14.4" customHeight="1" x14ac:dyDescent="0.25">
      <c r="A449" s="77"/>
      <c r="B449" s="77"/>
      <c r="C449" s="77"/>
      <c r="D449" s="77"/>
      <c r="E449" s="77"/>
      <c r="F449" s="77"/>
      <c r="G449" s="77"/>
      <c r="H449" s="176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 spans="1:28" ht="14.4" customHeight="1" x14ac:dyDescent="0.25">
      <c r="A450" s="77"/>
      <c r="B450" s="77"/>
      <c r="C450" s="77"/>
      <c r="D450" s="77"/>
      <c r="E450" s="77"/>
      <c r="F450" s="77"/>
      <c r="G450" s="77"/>
      <c r="H450" s="176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 spans="1:28" ht="14.4" customHeight="1" x14ac:dyDescent="0.25">
      <c r="A451" s="77"/>
      <c r="B451" s="77"/>
      <c r="C451" s="77"/>
      <c r="D451" s="77"/>
      <c r="E451" s="77"/>
      <c r="F451" s="77"/>
      <c r="G451" s="77"/>
      <c r="H451" s="176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 spans="1:28" ht="14.4" customHeight="1" x14ac:dyDescent="0.25">
      <c r="A452" s="77"/>
      <c r="B452" s="77"/>
      <c r="C452" s="77"/>
      <c r="D452" s="77"/>
      <c r="E452" s="77"/>
      <c r="F452" s="77"/>
      <c r="G452" s="77"/>
      <c r="H452" s="176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 spans="1:28" ht="14.4" customHeight="1" x14ac:dyDescent="0.25">
      <c r="A453" s="77"/>
      <c r="B453" s="77"/>
      <c r="C453" s="77"/>
      <c r="D453" s="77"/>
      <c r="E453" s="77"/>
      <c r="F453" s="77"/>
      <c r="G453" s="77"/>
      <c r="H453" s="176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 spans="1:28" ht="14.4" customHeight="1" x14ac:dyDescent="0.25">
      <c r="A454" s="77"/>
      <c r="B454" s="77"/>
      <c r="C454" s="77"/>
      <c r="D454" s="77"/>
      <c r="E454" s="77"/>
      <c r="F454" s="77"/>
      <c r="G454" s="77"/>
      <c r="H454" s="176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 spans="1:28" ht="14.4" customHeight="1" x14ac:dyDescent="0.25">
      <c r="A455" s="77"/>
      <c r="B455" s="77"/>
      <c r="C455" s="77"/>
      <c r="D455" s="77"/>
      <c r="E455" s="77"/>
      <c r="F455" s="77"/>
      <c r="G455" s="77"/>
      <c r="H455" s="176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 spans="1:28" ht="14.4" customHeight="1" x14ac:dyDescent="0.25">
      <c r="A456" s="77"/>
      <c r="B456" s="77"/>
      <c r="C456" s="77"/>
      <c r="D456" s="77"/>
      <c r="E456" s="77"/>
      <c r="F456" s="77"/>
      <c r="G456" s="77"/>
      <c r="H456" s="176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 spans="1:28" ht="14.4" customHeight="1" x14ac:dyDescent="0.25">
      <c r="A457" s="77"/>
      <c r="B457" s="77"/>
      <c r="C457" s="77"/>
      <c r="D457" s="77"/>
      <c r="E457" s="77"/>
      <c r="F457" s="77"/>
      <c r="G457" s="77"/>
      <c r="H457" s="176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 spans="1:28" ht="14.4" customHeight="1" x14ac:dyDescent="0.25">
      <c r="A458" s="77"/>
      <c r="B458" s="77"/>
      <c r="C458" s="77"/>
      <c r="D458" s="77"/>
      <c r="E458" s="77"/>
      <c r="F458" s="77"/>
      <c r="G458" s="77"/>
      <c r="H458" s="176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 spans="1:28" ht="14.4" customHeight="1" x14ac:dyDescent="0.25">
      <c r="A459" s="77"/>
      <c r="B459" s="77"/>
      <c r="C459" s="77"/>
      <c r="D459" s="77"/>
      <c r="E459" s="77"/>
      <c r="F459" s="77"/>
      <c r="G459" s="77"/>
      <c r="H459" s="176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 spans="1:28" ht="14.4" customHeight="1" x14ac:dyDescent="0.25">
      <c r="A460" s="77"/>
      <c r="B460" s="77"/>
      <c r="C460" s="77"/>
      <c r="D460" s="77"/>
      <c r="E460" s="77"/>
      <c r="F460" s="77"/>
      <c r="G460" s="77"/>
      <c r="H460" s="176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 spans="1:28" ht="14.4" customHeight="1" x14ac:dyDescent="0.25">
      <c r="A461" s="77"/>
      <c r="B461" s="77"/>
      <c r="C461" s="77"/>
      <c r="D461" s="77"/>
      <c r="E461" s="77"/>
      <c r="F461" s="77"/>
      <c r="G461" s="77"/>
      <c r="H461" s="176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 spans="1:28" ht="14.4" customHeight="1" x14ac:dyDescent="0.25">
      <c r="A462" s="77"/>
      <c r="B462" s="77"/>
      <c r="C462" s="77"/>
      <c r="D462" s="77"/>
      <c r="E462" s="77"/>
      <c r="F462" s="77"/>
      <c r="G462" s="77"/>
      <c r="H462" s="176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 spans="1:28" ht="14.4" customHeight="1" x14ac:dyDescent="0.25">
      <c r="A463" s="77"/>
      <c r="B463" s="77"/>
      <c r="C463" s="77"/>
      <c r="D463" s="77"/>
      <c r="E463" s="77"/>
      <c r="F463" s="77"/>
      <c r="G463" s="77"/>
      <c r="H463" s="176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 spans="1:28" ht="14.4" customHeight="1" x14ac:dyDescent="0.25">
      <c r="A464" s="77"/>
      <c r="B464" s="77"/>
      <c r="C464" s="77"/>
      <c r="D464" s="77"/>
      <c r="E464" s="77"/>
      <c r="F464" s="77"/>
      <c r="G464" s="77"/>
      <c r="H464" s="176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 spans="1:28" ht="14.4" customHeight="1" x14ac:dyDescent="0.25">
      <c r="A465" s="77"/>
      <c r="B465" s="77"/>
      <c r="C465" s="77"/>
      <c r="D465" s="77"/>
      <c r="E465" s="77"/>
      <c r="F465" s="77"/>
      <c r="G465" s="77"/>
      <c r="H465" s="176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 spans="1:28" ht="14.4" customHeight="1" x14ac:dyDescent="0.25">
      <c r="A466" s="77"/>
      <c r="B466" s="77"/>
      <c r="C466" s="77"/>
      <c r="D466" s="77"/>
      <c r="E466" s="77"/>
      <c r="F466" s="77"/>
      <c r="G466" s="77"/>
      <c r="H466" s="176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 spans="1:28" ht="14.4" customHeight="1" x14ac:dyDescent="0.25">
      <c r="A467" s="77"/>
      <c r="B467" s="77"/>
      <c r="C467" s="77"/>
      <c r="D467" s="77"/>
      <c r="E467" s="77"/>
      <c r="F467" s="77"/>
      <c r="G467" s="77"/>
      <c r="H467" s="176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 spans="1:28" ht="14.4" customHeight="1" x14ac:dyDescent="0.25">
      <c r="A468" s="77"/>
      <c r="B468" s="77"/>
      <c r="C468" s="77"/>
      <c r="D468" s="77"/>
      <c r="E468" s="77"/>
      <c r="F468" s="77"/>
      <c r="G468" s="77"/>
      <c r="H468" s="176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 spans="1:28" ht="14.4" customHeight="1" x14ac:dyDescent="0.25">
      <c r="A469" s="77"/>
      <c r="B469" s="77"/>
      <c r="C469" s="77"/>
      <c r="D469" s="77"/>
      <c r="E469" s="77"/>
      <c r="F469" s="77"/>
      <c r="G469" s="77"/>
      <c r="H469" s="176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 spans="1:28" ht="14.4" customHeight="1" x14ac:dyDescent="0.25">
      <c r="A470" s="77"/>
      <c r="B470" s="77"/>
      <c r="C470" s="77"/>
      <c r="D470" s="77"/>
      <c r="E470" s="77"/>
      <c r="F470" s="77"/>
      <c r="G470" s="77"/>
      <c r="H470" s="176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 spans="1:28" ht="14.4" customHeight="1" x14ac:dyDescent="0.25">
      <c r="A471" s="77"/>
      <c r="B471" s="77"/>
      <c r="C471" s="77"/>
      <c r="D471" s="77"/>
      <c r="E471" s="77"/>
      <c r="F471" s="77"/>
      <c r="G471" s="77"/>
      <c r="H471" s="176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 spans="1:28" ht="14.4" customHeight="1" x14ac:dyDescent="0.25">
      <c r="A472" s="77"/>
      <c r="B472" s="77"/>
      <c r="C472" s="77"/>
      <c r="D472" s="77"/>
      <c r="E472" s="77"/>
      <c r="F472" s="77"/>
      <c r="G472" s="77"/>
      <c r="H472" s="176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 spans="1:28" ht="14.4" customHeight="1" x14ac:dyDescent="0.25">
      <c r="A473" s="77"/>
      <c r="B473" s="77"/>
      <c r="C473" s="77"/>
      <c r="D473" s="77"/>
      <c r="E473" s="77"/>
      <c r="F473" s="77"/>
      <c r="G473" s="77"/>
      <c r="H473" s="176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 spans="1:28" ht="14.4" customHeight="1" x14ac:dyDescent="0.25">
      <c r="A474" s="77"/>
      <c r="B474" s="77"/>
      <c r="C474" s="77"/>
      <c r="D474" s="77"/>
      <c r="E474" s="77"/>
      <c r="F474" s="77"/>
      <c r="G474" s="77"/>
      <c r="H474" s="176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 spans="1:28" ht="14.4" customHeight="1" x14ac:dyDescent="0.25">
      <c r="A475" s="77"/>
      <c r="B475" s="77"/>
      <c r="C475" s="77"/>
      <c r="D475" s="77"/>
      <c r="E475" s="77"/>
      <c r="F475" s="77"/>
      <c r="G475" s="77"/>
      <c r="H475" s="176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 spans="1:28" ht="14.4" customHeight="1" x14ac:dyDescent="0.25">
      <c r="A476" s="77"/>
      <c r="B476" s="77"/>
      <c r="C476" s="77"/>
      <c r="D476" s="77"/>
      <c r="E476" s="77"/>
      <c r="F476" s="77"/>
      <c r="G476" s="77"/>
      <c r="H476" s="176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 spans="1:28" ht="14.4" customHeight="1" x14ac:dyDescent="0.25">
      <c r="A477" s="77"/>
      <c r="B477" s="77"/>
      <c r="C477" s="77"/>
      <c r="D477" s="77"/>
      <c r="E477" s="77"/>
      <c r="F477" s="77"/>
      <c r="G477" s="77"/>
      <c r="H477" s="176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 spans="1:28" ht="14.4" customHeight="1" x14ac:dyDescent="0.25">
      <c r="A478" s="77"/>
      <c r="B478" s="77"/>
      <c r="C478" s="77"/>
      <c r="D478" s="77"/>
      <c r="E478" s="77"/>
      <c r="F478" s="77"/>
      <c r="G478" s="77"/>
      <c r="H478" s="176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 spans="1:28" ht="14.4" customHeight="1" x14ac:dyDescent="0.25">
      <c r="A479" s="77"/>
      <c r="B479" s="77"/>
      <c r="C479" s="77"/>
      <c r="D479" s="77"/>
      <c r="E479" s="77"/>
      <c r="F479" s="77"/>
      <c r="G479" s="77"/>
      <c r="H479" s="176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 spans="1:28" ht="14.4" customHeight="1" x14ac:dyDescent="0.25">
      <c r="A480" s="77"/>
      <c r="B480" s="77"/>
      <c r="C480" s="77"/>
      <c r="D480" s="77"/>
      <c r="E480" s="77"/>
      <c r="F480" s="77"/>
      <c r="G480" s="77"/>
      <c r="H480" s="176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 spans="1:28" ht="14.4" customHeight="1" x14ac:dyDescent="0.25">
      <c r="A481" s="77"/>
      <c r="B481" s="77"/>
      <c r="C481" s="77"/>
      <c r="D481" s="77"/>
      <c r="E481" s="77"/>
      <c r="F481" s="77"/>
      <c r="G481" s="77"/>
      <c r="H481" s="176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 spans="1:28" ht="14.4" customHeight="1" x14ac:dyDescent="0.25">
      <c r="A482" s="77"/>
      <c r="B482" s="77"/>
      <c r="C482" s="77"/>
      <c r="D482" s="77"/>
      <c r="E482" s="77"/>
      <c r="F482" s="77"/>
      <c r="G482" s="77"/>
      <c r="H482" s="176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 spans="1:28" ht="14.4" customHeight="1" x14ac:dyDescent="0.25">
      <c r="A483" s="77"/>
      <c r="B483" s="77"/>
      <c r="C483" s="77"/>
      <c r="D483" s="77"/>
      <c r="E483" s="77"/>
      <c r="F483" s="77"/>
      <c r="G483" s="77"/>
      <c r="H483" s="176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 spans="1:28" ht="14.4" customHeight="1" x14ac:dyDescent="0.25">
      <c r="A484" s="77"/>
      <c r="B484" s="77"/>
      <c r="C484" s="77"/>
      <c r="D484" s="77"/>
      <c r="E484" s="77"/>
      <c r="F484" s="77"/>
      <c r="G484" s="77"/>
      <c r="H484" s="176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 spans="1:28" ht="14.4" customHeight="1" x14ac:dyDescent="0.25">
      <c r="A485" s="77"/>
      <c r="B485" s="77"/>
      <c r="C485" s="77"/>
      <c r="D485" s="77"/>
      <c r="E485" s="77"/>
      <c r="F485" s="77"/>
      <c r="G485" s="77"/>
      <c r="H485" s="176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 spans="1:28" ht="14.4" customHeight="1" x14ac:dyDescent="0.25">
      <c r="A486" s="77"/>
      <c r="B486" s="77"/>
      <c r="C486" s="77"/>
      <c r="D486" s="77"/>
      <c r="E486" s="77"/>
      <c r="F486" s="77"/>
      <c r="G486" s="77"/>
      <c r="H486" s="176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 spans="1:28" ht="14.4" customHeight="1" x14ac:dyDescent="0.25">
      <c r="A487" s="77"/>
      <c r="B487" s="77"/>
      <c r="C487" s="77"/>
      <c r="D487" s="77"/>
      <c r="E487" s="77"/>
      <c r="F487" s="77"/>
      <c r="G487" s="77"/>
      <c r="H487" s="176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 spans="1:28" ht="14.4" customHeight="1" x14ac:dyDescent="0.25">
      <c r="A488" s="77"/>
      <c r="B488" s="77"/>
      <c r="C488" s="77"/>
      <c r="D488" s="77"/>
      <c r="E488" s="77"/>
      <c r="F488" s="77"/>
      <c r="G488" s="77"/>
      <c r="H488" s="176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 spans="1:28" ht="14.4" customHeight="1" x14ac:dyDescent="0.25">
      <c r="A489" s="77"/>
      <c r="B489" s="77"/>
      <c r="C489" s="77"/>
      <c r="D489" s="77"/>
      <c r="E489" s="77"/>
      <c r="F489" s="77"/>
      <c r="G489" s="77"/>
      <c r="H489" s="176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 spans="1:28" ht="14.4" customHeight="1" x14ac:dyDescent="0.25">
      <c r="A490" s="77"/>
      <c r="B490" s="77"/>
      <c r="C490" s="77"/>
      <c r="D490" s="77"/>
      <c r="E490" s="77"/>
      <c r="F490" s="77"/>
      <c r="G490" s="77"/>
      <c r="H490" s="176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 spans="1:28" ht="14.4" customHeight="1" x14ac:dyDescent="0.25">
      <c r="A491" s="77"/>
      <c r="B491" s="77"/>
      <c r="C491" s="77"/>
      <c r="D491" s="77"/>
      <c r="E491" s="77"/>
      <c r="F491" s="77"/>
      <c r="G491" s="77"/>
      <c r="H491" s="176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 spans="1:28" ht="14.4" customHeight="1" x14ac:dyDescent="0.25">
      <c r="A492" s="77"/>
      <c r="B492" s="77"/>
      <c r="C492" s="77"/>
      <c r="D492" s="77"/>
      <c r="E492" s="77"/>
      <c r="F492" s="77"/>
      <c r="G492" s="77"/>
      <c r="H492" s="176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 spans="1:28" ht="14.4" customHeight="1" x14ac:dyDescent="0.25">
      <c r="A493" s="77"/>
      <c r="B493" s="77"/>
      <c r="C493" s="77"/>
      <c r="D493" s="77"/>
      <c r="E493" s="77"/>
      <c r="F493" s="77"/>
      <c r="G493" s="77"/>
      <c r="H493" s="176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 spans="1:28" ht="14.4" customHeight="1" x14ac:dyDescent="0.25">
      <c r="A494" s="77"/>
      <c r="B494" s="77"/>
      <c r="C494" s="77"/>
      <c r="D494" s="77"/>
      <c r="E494" s="77"/>
      <c r="F494" s="77"/>
      <c r="G494" s="77"/>
      <c r="H494" s="176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 spans="1:28" ht="14.4" customHeight="1" x14ac:dyDescent="0.25">
      <c r="A495" s="77"/>
      <c r="B495" s="77"/>
      <c r="C495" s="77"/>
      <c r="D495" s="77"/>
      <c r="E495" s="77"/>
      <c r="F495" s="77"/>
      <c r="G495" s="77"/>
      <c r="H495" s="176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 spans="1:28" ht="14.4" customHeight="1" x14ac:dyDescent="0.25">
      <c r="A496" s="77"/>
      <c r="B496" s="77"/>
      <c r="C496" s="77"/>
      <c r="D496" s="77"/>
      <c r="E496" s="77"/>
      <c r="F496" s="77"/>
      <c r="G496" s="77"/>
      <c r="H496" s="176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 spans="1:28" ht="14.4" customHeight="1" x14ac:dyDescent="0.25">
      <c r="A497" s="77"/>
      <c r="B497" s="77"/>
      <c r="C497" s="77"/>
      <c r="D497" s="77"/>
      <c r="E497" s="77"/>
      <c r="F497" s="77"/>
      <c r="G497" s="77"/>
      <c r="H497" s="176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 spans="1:28" ht="14.4" customHeight="1" x14ac:dyDescent="0.25">
      <c r="A498" s="77"/>
      <c r="B498" s="77"/>
      <c r="C498" s="77"/>
      <c r="D498" s="77"/>
      <c r="E498" s="77"/>
      <c r="F498" s="77"/>
      <c r="G498" s="77"/>
      <c r="H498" s="176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 spans="1:28" ht="14.4" customHeight="1" x14ac:dyDescent="0.25">
      <c r="A499" s="77"/>
      <c r="B499" s="77"/>
      <c r="C499" s="77"/>
      <c r="D499" s="77"/>
      <c r="E499" s="77"/>
      <c r="F499" s="77"/>
      <c r="G499" s="77"/>
      <c r="H499" s="176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 spans="1:28" ht="14.4" customHeight="1" x14ac:dyDescent="0.25">
      <c r="A500" s="77"/>
      <c r="B500" s="77"/>
      <c r="C500" s="77"/>
      <c r="D500" s="77"/>
      <c r="E500" s="77"/>
      <c r="F500" s="77"/>
      <c r="G500" s="77"/>
      <c r="H500" s="176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 spans="1:28" ht="14.4" customHeight="1" x14ac:dyDescent="0.25">
      <c r="A501" s="77"/>
      <c r="B501" s="77"/>
      <c r="C501" s="77"/>
      <c r="D501" s="77"/>
      <c r="E501" s="77"/>
      <c r="F501" s="77"/>
      <c r="G501" s="77"/>
      <c r="H501" s="176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 spans="1:28" ht="14.4" customHeight="1" x14ac:dyDescent="0.25">
      <c r="A502" s="77"/>
      <c r="B502" s="77"/>
      <c r="C502" s="77"/>
      <c r="D502" s="77"/>
      <c r="E502" s="77"/>
      <c r="F502" s="77"/>
      <c r="G502" s="77"/>
      <c r="H502" s="176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 spans="1:28" ht="14.4" customHeight="1" x14ac:dyDescent="0.25">
      <c r="A503" s="77"/>
      <c r="B503" s="77"/>
      <c r="C503" s="77"/>
      <c r="D503" s="77"/>
      <c r="E503" s="77"/>
      <c r="F503" s="77"/>
      <c r="G503" s="77"/>
      <c r="H503" s="176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 spans="1:28" ht="14.4" customHeight="1" x14ac:dyDescent="0.25">
      <c r="A504" s="77"/>
      <c r="B504" s="77"/>
      <c r="C504" s="77"/>
      <c r="D504" s="77"/>
      <c r="E504" s="77"/>
      <c r="F504" s="77"/>
      <c r="G504" s="77"/>
      <c r="H504" s="176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 spans="1:28" ht="14.4" customHeight="1" x14ac:dyDescent="0.25">
      <c r="A505" s="77"/>
      <c r="B505" s="77"/>
      <c r="C505" s="77"/>
      <c r="D505" s="77"/>
      <c r="E505" s="77"/>
      <c r="F505" s="77"/>
      <c r="G505" s="77"/>
      <c r="H505" s="176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 spans="1:28" ht="14.4" customHeight="1" x14ac:dyDescent="0.25">
      <c r="A506" s="77"/>
      <c r="B506" s="77"/>
      <c r="C506" s="77"/>
      <c r="D506" s="77"/>
      <c r="E506" s="77"/>
      <c r="F506" s="77"/>
      <c r="G506" s="77"/>
      <c r="H506" s="176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 spans="1:28" ht="14.4" customHeight="1" x14ac:dyDescent="0.25">
      <c r="A507" s="77"/>
      <c r="B507" s="77"/>
      <c r="C507" s="77"/>
      <c r="D507" s="77"/>
      <c r="E507" s="77"/>
      <c r="F507" s="77"/>
      <c r="G507" s="77"/>
      <c r="H507" s="176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 spans="1:28" ht="14.4" customHeight="1" x14ac:dyDescent="0.25">
      <c r="A508" s="77"/>
      <c r="B508" s="77"/>
      <c r="C508" s="77"/>
      <c r="D508" s="77"/>
      <c r="E508" s="77"/>
      <c r="F508" s="77"/>
      <c r="G508" s="77"/>
      <c r="H508" s="176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 spans="1:28" ht="14.4" customHeight="1" x14ac:dyDescent="0.25">
      <c r="A509" s="77"/>
      <c r="B509" s="77"/>
      <c r="C509" s="77"/>
      <c r="D509" s="77"/>
      <c r="E509" s="77"/>
      <c r="F509" s="77"/>
      <c r="G509" s="77"/>
      <c r="H509" s="176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 spans="1:28" ht="14.4" customHeight="1" x14ac:dyDescent="0.25">
      <c r="A510" s="77"/>
      <c r="B510" s="77"/>
      <c r="C510" s="77"/>
      <c r="D510" s="77"/>
      <c r="E510" s="77"/>
      <c r="F510" s="77"/>
      <c r="G510" s="77"/>
      <c r="H510" s="176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 spans="1:28" ht="14.4" customHeight="1" x14ac:dyDescent="0.25">
      <c r="A511" s="77"/>
      <c r="B511" s="77"/>
      <c r="C511" s="77"/>
      <c r="D511" s="77"/>
      <c r="E511" s="77"/>
      <c r="F511" s="77"/>
      <c r="G511" s="77"/>
      <c r="H511" s="176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 spans="1:28" ht="14.4" customHeight="1" x14ac:dyDescent="0.25">
      <c r="A512" s="77"/>
      <c r="B512" s="77"/>
      <c r="C512" s="77"/>
      <c r="D512" s="77"/>
      <c r="E512" s="77"/>
      <c r="F512" s="77"/>
      <c r="G512" s="77"/>
      <c r="H512" s="176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 spans="1:28" ht="14.4" customHeight="1" x14ac:dyDescent="0.25">
      <c r="A513" s="77"/>
      <c r="B513" s="77"/>
      <c r="C513" s="77"/>
      <c r="D513" s="77"/>
      <c r="E513" s="77"/>
      <c r="F513" s="77"/>
      <c r="G513" s="77"/>
      <c r="H513" s="176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 spans="1:28" ht="14.4" customHeight="1" x14ac:dyDescent="0.25">
      <c r="A514" s="77"/>
      <c r="B514" s="77"/>
      <c r="C514" s="77"/>
      <c r="D514" s="77"/>
      <c r="E514" s="77"/>
      <c r="F514" s="77"/>
      <c r="G514" s="77"/>
      <c r="H514" s="176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 spans="1:28" ht="14.4" customHeight="1" x14ac:dyDescent="0.25">
      <c r="A515" s="77"/>
      <c r="B515" s="77"/>
      <c r="C515" s="77"/>
      <c r="D515" s="77"/>
      <c r="E515" s="77"/>
      <c r="F515" s="77"/>
      <c r="G515" s="77"/>
      <c r="H515" s="176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 spans="1:28" ht="14.4" customHeight="1" x14ac:dyDescent="0.25">
      <c r="A516" s="77"/>
      <c r="B516" s="77"/>
      <c r="C516" s="77"/>
      <c r="D516" s="77"/>
      <c r="E516" s="77"/>
      <c r="F516" s="77"/>
      <c r="G516" s="77"/>
      <c r="H516" s="176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 spans="1:28" ht="14.4" customHeight="1" x14ac:dyDescent="0.25">
      <c r="A517" s="77"/>
      <c r="B517" s="77"/>
      <c r="C517" s="77"/>
      <c r="D517" s="77"/>
      <c r="E517" s="77"/>
      <c r="F517" s="77"/>
      <c r="G517" s="77"/>
      <c r="H517" s="176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 spans="1:28" ht="14.4" customHeight="1" x14ac:dyDescent="0.25">
      <c r="A518" s="77"/>
      <c r="B518" s="77"/>
      <c r="C518" s="77"/>
      <c r="D518" s="77"/>
      <c r="E518" s="77"/>
      <c r="F518" s="77"/>
      <c r="G518" s="77"/>
      <c r="H518" s="176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 spans="1:28" ht="14.4" customHeight="1" x14ac:dyDescent="0.25">
      <c r="A519" s="77"/>
      <c r="B519" s="77"/>
      <c r="C519" s="77"/>
      <c r="D519" s="77"/>
      <c r="E519" s="77"/>
      <c r="F519" s="77"/>
      <c r="G519" s="77"/>
      <c r="H519" s="176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 spans="1:28" ht="14.4" customHeight="1" x14ac:dyDescent="0.25">
      <c r="A520" s="77"/>
      <c r="B520" s="77"/>
      <c r="C520" s="77"/>
      <c r="D520" s="77"/>
      <c r="E520" s="77"/>
      <c r="F520" s="77"/>
      <c r="G520" s="77"/>
      <c r="H520" s="176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 spans="1:28" ht="14.4" customHeight="1" x14ac:dyDescent="0.25">
      <c r="A521" s="77"/>
      <c r="B521" s="77"/>
      <c r="C521" s="77"/>
      <c r="D521" s="77"/>
      <c r="E521" s="77"/>
      <c r="F521" s="77"/>
      <c r="G521" s="77"/>
      <c r="H521" s="176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 spans="1:28" ht="14.4" customHeight="1" x14ac:dyDescent="0.25">
      <c r="A522" s="77"/>
      <c r="B522" s="77"/>
      <c r="C522" s="77"/>
      <c r="D522" s="77"/>
      <c r="E522" s="77"/>
      <c r="F522" s="77"/>
      <c r="G522" s="77"/>
      <c r="H522" s="176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 spans="1:28" ht="14.4" customHeight="1" x14ac:dyDescent="0.25">
      <c r="A523" s="77"/>
      <c r="B523" s="77"/>
      <c r="C523" s="77"/>
      <c r="D523" s="77"/>
      <c r="E523" s="77"/>
      <c r="F523" s="77"/>
      <c r="G523" s="77"/>
      <c r="H523" s="176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 spans="1:28" ht="14.4" customHeight="1" x14ac:dyDescent="0.25">
      <c r="A524" s="77"/>
      <c r="B524" s="77"/>
      <c r="C524" s="77"/>
      <c r="D524" s="77"/>
      <c r="E524" s="77"/>
      <c r="F524" s="77"/>
      <c r="G524" s="77"/>
      <c r="H524" s="176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 spans="1:28" ht="14.4" customHeight="1" x14ac:dyDescent="0.25">
      <c r="A525" s="77"/>
      <c r="B525" s="77"/>
      <c r="C525" s="77"/>
      <c r="D525" s="77"/>
      <c r="E525" s="77"/>
      <c r="F525" s="77"/>
      <c r="G525" s="77"/>
      <c r="H525" s="176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 spans="1:28" ht="14.4" customHeight="1" x14ac:dyDescent="0.25">
      <c r="A526" s="77"/>
      <c r="B526" s="77"/>
      <c r="C526" s="77"/>
      <c r="D526" s="77"/>
      <c r="E526" s="77"/>
      <c r="F526" s="77"/>
      <c r="G526" s="77"/>
      <c r="H526" s="176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 spans="1:28" ht="14.4" customHeight="1" x14ac:dyDescent="0.25">
      <c r="A527" s="77"/>
      <c r="B527" s="77"/>
      <c r="C527" s="77"/>
      <c r="D527" s="77"/>
      <c r="E527" s="77"/>
      <c r="F527" s="77"/>
      <c r="G527" s="77"/>
      <c r="H527" s="176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 spans="1:28" ht="14.4" customHeight="1" x14ac:dyDescent="0.25">
      <c r="A528" s="77"/>
      <c r="B528" s="77"/>
      <c r="C528" s="77"/>
      <c r="D528" s="77"/>
      <c r="E528" s="77"/>
      <c r="F528" s="77"/>
      <c r="G528" s="77"/>
      <c r="H528" s="176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 spans="1:28" ht="14.4" customHeight="1" x14ac:dyDescent="0.25">
      <c r="A529" s="77"/>
      <c r="B529" s="77"/>
      <c r="C529" s="77"/>
      <c r="D529" s="77"/>
      <c r="E529" s="77"/>
      <c r="F529" s="77"/>
      <c r="G529" s="77"/>
      <c r="H529" s="176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 spans="1:28" ht="14.4" customHeight="1" x14ac:dyDescent="0.25">
      <c r="A530" s="77"/>
      <c r="B530" s="77"/>
      <c r="C530" s="77"/>
      <c r="D530" s="77"/>
      <c r="E530" s="77"/>
      <c r="F530" s="77"/>
      <c r="G530" s="77"/>
      <c r="H530" s="176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 spans="1:28" ht="14.4" customHeight="1" x14ac:dyDescent="0.25">
      <c r="A531" s="77"/>
      <c r="B531" s="77"/>
      <c r="C531" s="77"/>
      <c r="D531" s="77"/>
      <c r="E531" s="77"/>
      <c r="F531" s="77"/>
      <c r="G531" s="77"/>
      <c r="H531" s="176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 spans="1:28" ht="14.4" customHeight="1" x14ac:dyDescent="0.25">
      <c r="A532" s="77"/>
      <c r="B532" s="77"/>
      <c r="C532" s="77"/>
      <c r="D532" s="77"/>
      <c r="E532" s="77"/>
      <c r="F532" s="77"/>
      <c r="G532" s="77"/>
      <c r="H532" s="176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 spans="1:28" ht="14.4" customHeight="1" x14ac:dyDescent="0.25">
      <c r="A533" s="77"/>
      <c r="B533" s="77"/>
      <c r="C533" s="77"/>
      <c r="D533" s="77"/>
      <c r="E533" s="77"/>
      <c r="F533" s="77"/>
      <c r="G533" s="77"/>
      <c r="H533" s="176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 spans="1:28" ht="14.4" customHeight="1" x14ac:dyDescent="0.25">
      <c r="A534" s="77"/>
      <c r="B534" s="77"/>
      <c r="C534" s="77"/>
      <c r="D534" s="77"/>
      <c r="E534" s="77"/>
      <c r="F534" s="77"/>
      <c r="G534" s="77"/>
      <c r="H534" s="176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 spans="1:28" ht="14.4" customHeight="1" x14ac:dyDescent="0.25">
      <c r="A535" s="77"/>
      <c r="B535" s="77"/>
      <c r="C535" s="77"/>
      <c r="D535" s="77"/>
      <c r="E535" s="77"/>
      <c r="F535" s="77"/>
      <c r="G535" s="77"/>
      <c r="H535" s="176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 spans="1:28" ht="14.4" customHeight="1" x14ac:dyDescent="0.25">
      <c r="A536" s="77"/>
      <c r="B536" s="77"/>
      <c r="C536" s="77"/>
      <c r="D536" s="77"/>
      <c r="E536" s="77"/>
      <c r="F536" s="77"/>
      <c r="G536" s="77"/>
      <c r="H536" s="176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 spans="1:28" ht="14.4" customHeight="1" x14ac:dyDescent="0.25">
      <c r="A537" s="77"/>
      <c r="B537" s="77"/>
      <c r="C537" s="77"/>
      <c r="D537" s="77"/>
      <c r="E537" s="77"/>
      <c r="F537" s="77"/>
      <c r="G537" s="77"/>
      <c r="H537" s="176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 spans="1:28" ht="14.4" customHeight="1" x14ac:dyDescent="0.25">
      <c r="A538" s="77"/>
      <c r="B538" s="77"/>
      <c r="C538" s="77"/>
      <c r="D538" s="77"/>
      <c r="E538" s="77"/>
      <c r="F538" s="77"/>
      <c r="G538" s="77"/>
      <c r="H538" s="176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 spans="1:28" ht="14.4" customHeight="1" x14ac:dyDescent="0.25">
      <c r="A539" s="77"/>
      <c r="B539" s="77"/>
      <c r="C539" s="77"/>
      <c r="D539" s="77"/>
      <c r="E539" s="77"/>
      <c r="F539" s="77"/>
      <c r="G539" s="77"/>
      <c r="H539" s="176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 spans="1:28" ht="14.4" customHeight="1" x14ac:dyDescent="0.25">
      <c r="A540" s="77"/>
      <c r="B540" s="77"/>
      <c r="C540" s="77"/>
      <c r="D540" s="77"/>
      <c r="E540" s="77"/>
      <c r="F540" s="77"/>
      <c r="G540" s="77"/>
      <c r="H540" s="176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 spans="1:28" ht="14.4" customHeight="1" x14ac:dyDescent="0.25">
      <c r="A541" s="77"/>
      <c r="B541" s="77"/>
      <c r="C541" s="77"/>
      <c r="D541" s="77"/>
      <c r="E541" s="77"/>
      <c r="F541" s="77"/>
      <c r="G541" s="77"/>
      <c r="H541" s="176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 spans="1:28" ht="14.4" customHeight="1" x14ac:dyDescent="0.25">
      <c r="A542" s="77"/>
      <c r="B542" s="77"/>
      <c r="C542" s="77"/>
      <c r="D542" s="77"/>
      <c r="E542" s="77"/>
      <c r="F542" s="77"/>
      <c r="G542" s="77"/>
      <c r="H542" s="176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 spans="1:28" ht="14.4" customHeight="1" x14ac:dyDescent="0.25">
      <c r="A543" s="77"/>
      <c r="B543" s="77"/>
      <c r="C543" s="77"/>
      <c r="D543" s="77"/>
      <c r="E543" s="77"/>
      <c r="F543" s="77"/>
      <c r="G543" s="77"/>
      <c r="H543" s="176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 spans="1:28" ht="14.4" customHeight="1" x14ac:dyDescent="0.25">
      <c r="A544" s="77"/>
      <c r="B544" s="77"/>
      <c r="C544" s="77"/>
      <c r="D544" s="77"/>
      <c r="E544" s="77"/>
      <c r="F544" s="77"/>
      <c r="G544" s="77"/>
      <c r="H544" s="176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 spans="1:28" ht="14.4" customHeight="1" x14ac:dyDescent="0.25">
      <c r="A545" s="77"/>
      <c r="B545" s="77"/>
      <c r="C545" s="77"/>
      <c r="D545" s="77"/>
      <c r="E545" s="77"/>
      <c r="F545" s="77"/>
      <c r="G545" s="77"/>
      <c r="H545" s="176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 spans="1:28" ht="14.4" customHeight="1" x14ac:dyDescent="0.25">
      <c r="A546" s="77"/>
      <c r="B546" s="77"/>
      <c r="C546" s="77"/>
      <c r="D546" s="77"/>
      <c r="E546" s="77"/>
      <c r="F546" s="77"/>
      <c r="G546" s="77"/>
      <c r="H546" s="176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 spans="1:28" ht="14.4" customHeight="1" x14ac:dyDescent="0.25">
      <c r="A547" s="77"/>
      <c r="B547" s="77"/>
      <c r="C547" s="77"/>
      <c r="D547" s="77"/>
      <c r="E547" s="77"/>
      <c r="F547" s="77"/>
      <c r="G547" s="77"/>
      <c r="H547" s="176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 spans="1:28" ht="14.4" customHeight="1" x14ac:dyDescent="0.25">
      <c r="A548" s="77"/>
      <c r="B548" s="77"/>
      <c r="C548" s="77"/>
      <c r="D548" s="77"/>
      <c r="E548" s="77"/>
      <c r="F548" s="77"/>
      <c r="G548" s="77"/>
      <c r="H548" s="176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 spans="1:28" ht="14.4" customHeight="1" x14ac:dyDescent="0.25">
      <c r="A549" s="77"/>
      <c r="B549" s="77"/>
      <c r="C549" s="77"/>
      <c r="D549" s="77"/>
      <c r="E549" s="77"/>
      <c r="F549" s="77"/>
      <c r="G549" s="77"/>
      <c r="H549" s="176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 spans="1:28" ht="14.4" customHeight="1" x14ac:dyDescent="0.25">
      <c r="A550" s="77"/>
      <c r="B550" s="77"/>
      <c r="C550" s="77"/>
      <c r="D550" s="77"/>
      <c r="E550" s="77"/>
      <c r="F550" s="77"/>
      <c r="G550" s="77"/>
      <c r="H550" s="176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 spans="1:28" ht="14.4" customHeight="1" x14ac:dyDescent="0.25">
      <c r="A551" s="77"/>
      <c r="B551" s="77"/>
      <c r="C551" s="77"/>
      <c r="D551" s="77"/>
      <c r="E551" s="77"/>
      <c r="F551" s="77"/>
      <c r="G551" s="77"/>
      <c r="H551" s="176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 spans="1:28" ht="14.4" customHeight="1" x14ac:dyDescent="0.25">
      <c r="A552" s="77"/>
      <c r="B552" s="77"/>
      <c r="C552" s="77"/>
      <c r="D552" s="77"/>
      <c r="E552" s="77"/>
      <c r="F552" s="77"/>
      <c r="G552" s="77"/>
      <c r="H552" s="176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 spans="1:28" ht="14.4" customHeight="1" x14ac:dyDescent="0.25">
      <c r="A553" s="77"/>
      <c r="B553" s="77"/>
      <c r="C553" s="77"/>
      <c r="D553" s="77"/>
      <c r="E553" s="77"/>
      <c r="F553" s="77"/>
      <c r="G553" s="77"/>
      <c r="H553" s="176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 spans="1:28" ht="14.4" customHeight="1" x14ac:dyDescent="0.25">
      <c r="A554" s="77"/>
      <c r="B554" s="77"/>
      <c r="C554" s="77"/>
      <c r="D554" s="77"/>
      <c r="E554" s="77"/>
      <c r="F554" s="77"/>
      <c r="G554" s="77"/>
      <c r="H554" s="176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 spans="1:28" ht="14.4" customHeight="1" x14ac:dyDescent="0.25">
      <c r="A555" s="77"/>
      <c r="B555" s="77"/>
      <c r="C555" s="77"/>
      <c r="D555" s="77"/>
      <c r="E555" s="77"/>
      <c r="F555" s="77"/>
      <c r="G555" s="77"/>
      <c r="H555" s="176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 spans="1:28" ht="14.4" customHeight="1" x14ac:dyDescent="0.25">
      <c r="A556" s="77"/>
      <c r="B556" s="77"/>
      <c r="C556" s="77"/>
      <c r="D556" s="77"/>
      <c r="E556" s="77"/>
      <c r="F556" s="77"/>
      <c r="G556" s="77"/>
      <c r="H556" s="176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 spans="1:28" ht="14.4" customHeight="1" x14ac:dyDescent="0.25">
      <c r="A557" s="77"/>
      <c r="B557" s="77"/>
      <c r="C557" s="77"/>
      <c r="D557" s="77"/>
      <c r="E557" s="77"/>
      <c r="F557" s="77"/>
      <c r="G557" s="77"/>
      <c r="H557" s="176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 spans="1:28" ht="14.4" customHeight="1" x14ac:dyDescent="0.25">
      <c r="A558" s="77"/>
      <c r="B558" s="77"/>
      <c r="C558" s="77"/>
      <c r="D558" s="77"/>
      <c r="E558" s="77"/>
      <c r="F558" s="77"/>
      <c r="G558" s="77"/>
      <c r="H558" s="176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 spans="1:28" ht="14.4" customHeight="1" x14ac:dyDescent="0.25">
      <c r="A559" s="77"/>
      <c r="B559" s="77"/>
      <c r="C559" s="77"/>
      <c r="D559" s="77"/>
      <c r="E559" s="77"/>
      <c r="F559" s="77"/>
      <c r="G559" s="77"/>
      <c r="H559" s="176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 spans="1:28" ht="14.4" customHeight="1" x14ac:dyDescent="0.25">
      <c r="A560" s="77"/>
      <c r="B560" s="77"/>
      <c r="C560" s="77"/>
      <c r="D560" s="77"/>
      <c r="E560" s="77"/>
      <c r="F560" s="77"/>
      <c r="G560" s="77"/>
      <c r="H560" s="176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 spans="1:28" ht="14.4" customHeight="1" x14ac:dyDescent="0.25">
      <c r="A561" s="77"/>
      <c r="B561" s="77"/>
      <c r="C561" s="77"/>
      <c r="D561" s="77"/>
      <c r="E561" s="77"/>
      <c r="F561" s="77"/>
      <c r="G561" s="77"/>
      <c r="H561" s="176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 spans="1:28" ht="14.4" customHeight="1" x14ac:dyDescent="0.25">
      <c r="A562" s="77"/>
      <c r="B562" s="77"/>
      <c r="C562" s="77"/>
      <c r="D562" s="77"/>
      <c r="E562" s="77"/>
      <c r="F562" s="77"/>
      <c r="G562" s="77"/>
      <c r="H562" s="176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 spans="1:28" ht="14.4" customHeight="1" x14ac:dyDescent="0.25">
      <c r="A563" s="77"/>
      <c r="B563" s="77"/>
      <c r="C563" s="77"/>
      <c r="D563" s="77"/>
      <c r="E563" s="77"/>
      <c r="F563" s="77"/>
      <c r="G563" s="77"/>
      <c r="H563" s="176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 spans="1:28" ht="14.4" customHeight="1" x14ac:dyDescent="0.25">
      <c r="A564" s="77"/>
      <c r="B564" s="77"/>
      <c r="C564" s="77"/>
      <c r="D564" s="77"/>
      <c r="E564" s="77"/>
      <c r="F564" s="77"/>
      <c r="G564" s="77"/>
      <c r="H564" s="176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 spans="1:28" ht="14.4" customHeight="1" x14ac:dyDescent="0.25">
      <c r="A565" s="77"/>
      <c r="B565" s="77"/>
      <c r="C565" s="77"/>
      <c r="D565" s="77"/>
      <c r="E565" s="77"/>
      <c r="F565" s="77"/>
      <c r="G565" s="77"/>
      <c r="H565" s="176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 spans="1:28" ht="14.4" customHeight="1" x14ac:dyDescent="0.25">
      <c r="A566" s="77"/>
      <c r="B566" s="77"/>
      <c r="C566" s="77"/>
      <c r="D566" s="77"/>
      <c r="E566" s="77"/>
      <c r="F566" s="77"/>
      <c r="G566" s="77"/>
      <c r="H566" s="176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 spans="1:28" ht="14.4" customHeight="1" x14ac:dyDescent="0.25">
      <c r="A567" s="77"/>
      <c r="B567" s="77"/>
      <c r="C567" s="77"/>
      <c r="D567" s="77"/>
      <c r="E567" s="77"/>
      <c r="F567" s="77"/>
      <c r="G567" s="77"/>
      <c r="H567" s="176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 spans="1:28" ht="14.4" customHeight="1" x14ac:dyDescent="0.25">
      <c r="A568" s="77"/>
      <c r="B568" s="77"/>
      <c r="C568" s="77"/>
      <c r="D568" s="77"/>
      <c r="E568" s="77"/>
      <c r="F568" s="77"/>
      <c r="G568" s="77"/>
      <c r="H568" s="176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 spans="1:28" ht="14.4" customHeight="1" x14ac:dyDescent="0.25">
      <c r="A569" s="77"/>
      <c r="B569" s="77"/>
      <c r="C569" s="77"/>
      <c r="D569" s="77"/>
      <c r="E569" s="77"/>
      <c r="F569" s="77"/>
      <c r="G569" s="77"/>
      <c r="H569" s="176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 spans="1:28" ht="14.4" customHeight="1" x14ac:dyDescent="0.25">
      <c r="A570" s="77"/>
      <c r="B570" s="77"/>
      <c r="C570" s="77"/>
      <c r="D570" s="77"/>
      <c r="E570" s="77"/>
      <c r="F570" s="77"/>
      <c r="G570" s="77"/>
      <c r="H570" s="176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 spans="1:28" ht="14.4" customHeight="1" x14ac:dyDescent="0.25">
      <c r="A571" s="77"/>
      <c r="B571" s="77"/>
      <c r="C571" s="77"/>
      <c r="D571" s="77"/>
      <c r="E571" s="77"/>
      <c r="F571" s="77"/>
      <c r="G571" s="77"/>
      <c r="H571" s="176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 spans="1:28" ht="14.4" customHeight="1" x14ac:dyDescent="0.25">
      <c r="A572" s="77"/>
      <c r="B572" s="77"/>
      <c r="C572" s="77"/>
      <c r="D572" s="77"/>
      <c r="E572" s="77"/>
      <c r="F572" s="77"/>
      <c r="G572" s="77"/>
      <c r="H572" s="176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 spans="1:28" ht="14.4" customHeight="1" x14ac:dyDescent="0.25">
      <c r="A573" s="77"/>
      <c r="B573" s="77"/>
      <c r="C573" s="77"/>
      <c r="D573" s="77"/>
      <c r="E573" s="77"/>
      <c r="F573" s="77"/>
      <c r="G573" s="77"/>
      <c r="H573" s="176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 spans="1:28" ht="14.4" customHeight="1" x14ac:dyDescent="0.25">
      <c r="A574" s="77"/>
      <c r="B574" s="77"/>
      <c r="C574" s="77"/>
      <c r="D574" s="77"/>
      <c r="E574" s="77"/>
      <c r="F574" s="77"/>
      <c r="G574" s="77"/>
      <c r="H574" s="176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 spans="1:28" ht="14.4" customHeight="1" x14ac:dyDescent="0.25">
      <c r="A575" s="77"/>
      <c r="B575" s="77"/>
      <c r="C575" s="77"/>
      <c r="D575" s="77"/>
      <c r="E575" s="77"/>
      <c r="F575" s="77"/>
      <c r="G575" s="77"/>
      <c r="H575" s="176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 spans="1:28" ht="14.4" customHeight="1" x14ac:dyDescent="0.25">
      <c r="A576" s="77"/>
      <c r="B576" s="77"/>
      <c r="C576" s="77"/>
      <c r="D576" s="77"/>
      <c r="E576" s="77"/>
      <c r="F576" s="77"/>
      <c r="G576" s="77"/>
      <c r="H576" s="176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 spans="1:28" ht="14.4" customHeight="1" x14ac:dyDescent="0.25">
      <c r="A577" s="77"/>
      <c r="B577" s="77"/>
      <c r="C577" s="77"/>
      <c r="D577" s="77"/>
      <c r="E577" s="77"/>
      <c r="F577" s="77"/>
      <c r="G577" s="77"/>
      <c r="H577" s="176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 spans="1:28" ht="14.4" customHeight="1" x14ac:dyDescent="0.25">
      <c r="A578" s="77"/>
      <c r="B578" s="77"/>
      <c r="C578" s="77"/>
      <c r="D578" s="77"/>
      <c r="E578" s="77"/>
      <c r="F578" s="77"/>
      <c r="G578" s="77"/>
      <c r="H578" s="176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 spans="1:28" ht="14.4" customHeight="1" x14ac:dyDescent="0.25">
      <c r="A579" s="77"/>
      <c r="B579" s="77"/>
      <c r="C579" s="77"/>
      <c r="D579" s="77"/>
      <c r="E579" s="77"/>
      <c r="F579" s="77"/>
      <c r="G579" s="77"/>
      <c r="H579" s="176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 spans="1:28" ht="14.4" customHeight="1" x14ac:dyDescent="0.25">
      <c r="A580" s="77"/>
      <c r="B580" s="77"/>
      <c r="C580" s="77"/>
      <c r="D580" s="77"/>
      <c r="E580" s="77"/>
      <c r="F580" s="77"/>
      <c r="G580" s="77"/>
      <c r="H580" s="176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 spans="1:28" ht="14.4" customHeight="1" x14ac:dyDescent="0.25">
      <c r="A581" s="77"/>
      <c r="B581" s="77"/>
      <c r="C581" s="77"/>
      <c r="D581" s="77"/>
      <c r="E581" s="77"/>
      <c r="F581" s="77"/>
      <c r="G581" s="77"/>
      <c r="H581" s="176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 spans="1:28" ht="14.4" customHeight="1" x14ac:dyDescent="0.25">
      <c r="A582" s="77"/>
      <c r="B582" s="77"/>
      <c r="C582" s="77"/>
      <c r="D582" s="77"/>
      <c r="E582" s="77"/>
      <c r="F582" s="77"/>
      <c r="G582" s="77"/>
      <c r="H582" s="176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 spans="1:28" ht="14.4" customHeight="1" x14ac:dyDescent="0.25">
      <c r="A583" s="77"/>
      <c r="B583" s="77"/>
      <c r="C583" s="77"/>
      <c r="D583" s="77"/>
      <c r="E583" s="77"/>
      <c r="F583" s="77"/>
      <c r="G583" s="77"/>
      <c r="H583" s="176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 spans="1:28" ht="14.4" customHeight="1" x14ac:dyDescent="0.25">
      <c r="A584" s="77"/>
      <c r="B584" s="77"/>
      <c r="C584" s="77"/>
      <c r="D584" s="77"/>
      <c r="E584" s="77"/>
      <c r="F584" s="77"/>
      <c r="G584" s="77"/>
      <c r="H584" s="176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 spans="1:28" ht="14.4" customHeight="1" x14ac:dyDescent="0.25">
      <c r="A585" s="77"/>
      <c r="B585" s="77"/>
      <c r="C585" s="77"/>
      <c r="D585" s="77"/>
      <c r="E585" s="77"/>
      <c r="F585" s="77"/>
      <c r="G585" s="77"/>
      <c r="H585" s="176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 spans="1:28" ht="14.4" customHeight="1" x14ac:dyDescent="0.25">
      <c r="A586" s="77"/>
      <c r="B586" s="77"/>
      <c r="C586" s="77"/>
      <c r="D586" s="77"/>
      <c r="E586" s="77"/>
      <c r="F586" s="77"/>
      <c r="G586" s="77"/>
      <c r="H586" s="176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 spans="1:28" ht="14.4" customHeight="1" x14ac:dyDescent="0.25">
      <c r="A587" s="77"/>
      <c r="B587" s="77"/>
      <c r="C587" s="77"/>
      <c r="D587" s="77"/>
      <c r="E587" s="77"/>
      <c r="F587" s="77"/>
      <c r="G587" s="77"/>
      <c r="H587" s="176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 spans="1:28" ht="14.4" customHeight="1" x14ac:dyDescent="0.25">
      <c r="A588" s="77"/>
      <c r="B588" s="77"/>
      <c r="C588" s="77"/>
      <c r="D588" s="77"/>
      <c r="E588" s="77"/>
      <c r="F588" s="77"/>
      <c r="G588" s="77"/>
      <c r="H588" s="176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 spans="1:28" ht="14.4" customHeight="1" x14ac:dyDescent="0.25">
      <c r="A589" s="77"/>
      <c r="B589" s="77"/>
      <c r="C589" s="77"/>
      <c r="D589" s="77"/>
      <c r="E589" s="77"/>
      <c r="F589" s="77"/>
      <c r="G589" s="77"/>
      <c r="H589" s="176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 spans="1:28" ht="14.4" customHeight="1" x14ac:dyDescent="0.25">
      <c r="A590" s="77"/>
      <c r="B590" s="77"/>
      <c r="C590" s="77"/>
      <c r="D590" s="77"/>
      <c r="E590" s="77"/>
      <c r="F590" s="77"/>
      <c r="G590" s="77"/>
      <c r="H590" s="176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 spans="1:28" ht="14.4" customHeight="1" x14ac:dyDescent="0.25">
      <c r="A591" s="77"/>
      <c r="B591" s="77"/>
      <c r="C591" s="77"/>
      <c r="D591" s="77"/>
      <c r="E591" s="77"/>
      <c r="F591" s="77"/>
      <c r="G591" s="77"/>
      <c r="H591" s="176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 spans="1:28" ht="14.4" customHeight="1" x14ac:dyDescent="0.25">
      <c r="A592" s="77"/>
      <c r="B592" s="77"/>
      <c r="C592" s="77"/>
      <c r="D592" s="77"/>
      <c r="E592" s="77"/>
      <c r="F592" s="77"/>
      <c r="G592" s="77"/>
      <c r="H592" s="176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 spans="1:28" ht="14.4" customHeight="1" x14ac:dyDescent="0.25">
      <c r="A593" s="77"/>
      <c r="B593" s="77"/>
      <c r="C593" s="77"/>
      <c r="D593" s="77"/>
      <c r="E593" s="77"/>
      <c r="F593" s="77"/>
      <c r="G593" s="77"/>
      <c r="H593" s="176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 spans="1:28" ht="14.4" customHeight="1" x14ac:dyDescent="0.25">
      <c r="A594" s="77"/>
      <c r="B594" s="77"/>
      <c r="C594" s="77"/>
      <c r="D594" s="77"/>
      <c r="E594" s="77"/>
      <c r="F594" s="77"/>
      <c r="G594" s="77"/>
      <c r="H594" s="176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 spans="1:28" ht="14.4" customHeight="1" x14ac:dyDescent="0.25">
      <c r="A595" s="77"/>
      <c r="B595" s="77"/>
      <c r="C595" s="77"/>
      <c r="D595" s="77"/>
      <c r="E595" s="77"/>
      <c r="F595" s="77"/>
      <c r="G595" s="77"/>
      <c r="H595" s="176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 spans="1:28" ht="14.4" customHeight="1" x14ac:dyDescent="0.25">
      <c r="A596" s="77"/>
      <c r="B596" s="77"/>
      <c r="C596" s="77"/>
      <c r="D596" s="77"/>
      <c r="E596" s="77"/>
      <c r="F596" s="77"/>
      <c r="G596" s="77"/>
      <c r="H596" s="176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 spans="1:28" ht="14.4" customHeight="1" x14ac:dyDescent="0.25">
      <c r="A597" s="77"/>
      <c r="B597" s="77"/>
      <c r="C597" s="77"/>
      <c r="D597" s="77"/>
      <c r="E597" s="77"/>
      <c r="F597" s="77"/>
      <c r="G597" s="77"/>
      <c r="H597" s="176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 spans="1:28" ht="14.4" customHeight="1" x14ac:dyDescent="0.25">
      <c r="A598" s="77"/>
      <c r="B598" s="77"/>
      <c r="C598" s="77"/>
      <c r="D598" s="77"/>
      <c r="E598" s="77"/>
      <c r="F598" s="77"/>
      <c r="G598" s="77"/>
      <c r="H598" s="176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 spans="1:28" ht="14.4" customHeight="1" x14ac:dyDescent="0.25">
      <c r="A599" s="77"/>
      <c r="B599" s="77"/>
      <c r="C599" s="77"/>
      <c r="D599" s="77"/>
      <c r="E599" s="77"/>
      <c r="F599" s="77"/>
      <c r="G599" s="77"/>
      <c r="H599" s="176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 spans="1:28" ht="14.4" customHeight="1" x14ac:dyDescent="0.25">
      <c r="A600" s="77"/>
      <c r="B600" s="77"/>
      <c r="C600" s="77"/>
      <c r="D600" s="77"/>
      <c r="E600" s="77"/>
      <c r="F600" s="77"/>
      <c r="G600" s="77"/>
      <c r="H600" s="176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 spans="1:28" ht="14.4" customHeight="1" x14ac:dyDescent="0.25">
      <c r="A601" s="77"/>
      <c r="B601" s="77"/>
      <c r="C601" s="77"/>
      <c r="D601" s="77"/>
      <c r="E601" s="77"/>
      <c r="F601" s="77"/>
      <c r="G601" s="77"/>
      <c r="H601" s="176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 spans="1:28" ht="14.4" customHeight="1" x14ac:dyDescent="0.25">
      <c r="A602" s="77"/>
      <c r="B602" s="77"/>
      <c r="C602" s="77"/>
      <c r="D602" s="77"/>
      <c r="E602" s="77"/>
      <c r="F602" s="77"/>
      <c r="G602" s="77"/>
      <c r="H602" s="176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 spans="1:28" ht="14.4" customHeight="1" x14ac:dyDescent="0.25">
      <c r="A603" s="77"/>
      <c r="B603" s="77"/>
      <c r="C603" s="77"/>
      <c r="D603" s="77"/>
      <c r="E603" s="77"/>
      <c r="F603" s="77"/>
      <c r="G603" s="77"/>
      <c r="H603" s="176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 spans="1:28" ht="14.4" customHeight="1" x14ac:dyDescent="0.25">
      <c r="A604" s="77"/>
      <c r="B604" s="77"/>
      <c r="C604" s="77"/>
      <c r="D604" s="77"/>
      <c r="E604" s="77"/>
      <c r="F604" s="77"/>
      <c r="G604" s="77"/>
      <c r="H604" s="176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 spans="1:28" ht="14.4" customHeight="1" x14ac:dyDescent="0.25">
      <c r="A605" s="77"/>
      <c r="B605" s="77"/>
      <c r="C605" s="77"/>
      <c r="D605" s="77"/>
      <c r="E605" s="77"/>
      <c r="F605" s="77"/>
      <c r="G605" s="77"/>
      <c r="H605" s="176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 spans="1:28" ht="14.4" customHeight="1" x14ac:dyDescent="0.25">
      <c r="A606" s="77"/>
      <c r="B606" s="77"/>
      <c r="C606" s="77"/>
      <c r="D606" s="77"/>
      <c r="E606" s="77"/>
      <c r="F606" s="77"/>
      <c r="G606" s="77"/>
      <c r="H606" s="176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 spans="1:28" ht="14.4" customHeight="1" x14ac:dyDescent="0.25">
      <c r="A607" s="77"/>
      <c r="B607" s="77"/>
      <c r="C607" s="77"/>
      <c r="D607" s="77"/>
      <c r="E607" s="77"/>
      <c r="F607" s="77"/>
      <c r="G607" s="77"/>
      <c r="H607" s="176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 spans="1:28" ht="14.4" customHeight="1" x14ac:dyDescent="0.25">
      <c r="A608" s="77"/>
      <c r="B608" s="77"/>
      <c r="C608" s="77"/>
      <c r="D608" s="77"/>
      <c r="E608" s="77"/>
      <c r="F608" s="77"/>
      <c r="G608" s="77"/>
      <c r="H608" s="176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 spans="1:28" ht="14.4" customHeight="1" x14ac:dyDescent="0.25">
      <c r="A609" s="77"/>
      <c r="B609" s="77"/>
      <c r="C609" s="77"/>
      <c r="D609" s="77"/>
      <c r="E609" s="77"/>
      <c r="F609" s="77"/>
      <c r="G609" s="77"/>
      <c r="H609" s="176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 spans="1:28" ht="14.4" customHeight="1" x14ac:dyDescent="0.25">
      <c r="A610" s="77"/>
      <c r="B610" s="77"/>
      <c r="C610" s="77"/>
      <c r="D610" s="77"/>
      <c r="E610" s="77"/>
      <c r="F610" s="77"/>
      <c r="G610" s="77"/>
      <c r="H610" s="176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 spans="1:28" ht="14.4" customHeight="1" x14ac:dyDescent="0.25">
      <c r="A611" s="77"/>
      <c r="B611" s="77"/>
      <c r="C611" s="77"/>
      <c r="D611" s="77"/>
      <c r="E611" s="77"/>
      <c r="F611" s="77"/>
      <c r="G611" s="77"/>
      <c r="H611" s="176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 spans="1:28" ht="14.4" customHeight="1" x14ac:dyDescent="0.25">
      <c r="A612" s="77"/>
      <c r="B612" s="77"/>
      <c r="C612" s="77"/>
      <c r="D612" s="77"/>
      <c r="E612" s="77"/>
      <c r="F612" s="77"/>
      <c r="G612" s="77"/>
      <c r="H612" s="176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 spans="1:28" ht="14.4" customHeight="1" x14ac:dyDescent="0.25">
      <c r="A613" s="77"/>
      <c r="B613" s="77"/>
      <c r="C613" s="77"/>
      <c r="D613" s="77"/>
      <c r="E613" s="77"/>
      <c r="F613" s="77"/>
      <c r="G613" s="77"/>
      <c r="H613" s="176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 spans="1:28" ht="14.4" customHeight="1" x14ac:dyDescent="0.25">
      <c r="A614" s="77"/>
      <c r="B614" s="77"/>
      <c r="C614" s="77"/>
      <c r="D614" s="77"/>
      <c r="E614" s="77"/>
      <c r="F614" s="77"/>
      <c r="G614" s="77"/>
      <c r="H614" s="176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 spans="1:28" ht="14.4" customHeight="1" x14ac:dyDescent="0.25">
      <c r="A615" s="77"/>
      <c r="B615" s="77"/>
      <c r="C615" s="77"/>
      <c r="D615" s="77"/>
      <c r="E615" s="77"/>
      <c r="F615" s="77"/>
      <c r="G615" s="77"/>
      <c r="H615" s="176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 spans="1:28" ht="14.4" customHeight="1" x14ac:dyDescent="0.25">
      <c r="A616" s="77"/>
      <c r="B616" s="77"/>
      <c r="C616" s="77"/>
      <c r="D616" s="77"/>
      <c r="E616" s="77"/>
      <c r="F616" s="77"/>
      <c r="G616" s="77"/>
      <c r="H616" s="176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 spans="1:28" ht="14.4" customHeight="1" x14ac:dyDescent="0.25">
      <c r="A617" s="77"/>
      <c r="B617" s="77"/>
      <c r="C617" s="77"/>
      <c r="D617" s="77"/>
      <c r="E617" s="77"/>
      <c r="F617" s="77"/>
      <c r="G617" s="77"/>
      <c r="H617" s="176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 spans="1:28" ht="14.4" customHeight="1" x14ac:dyDescent="0.25">
      <c r="A618" s="77"/>
      <c r="B618" s="77"/>
      <c r="C618" s="77"/>
      <c r="D618" s="77"/>
      <c r="E618" s="77"/>
      <c r="F618" s="77"/>
      <c r="G618" s="77"/>
      <c r="H618" s="176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 spans="1:28" ht="14.4" customHeight="1" x14ac:dyDescent="0.25">
      <c r="A619" s="77"/>
      <c r="B619" s="77"/>
      <c r="C619" s="77"/>
      <c r="D619" s="77"/>
      <c r="E619" s="77"/>
      <c r="F619" s="77"/>
      <c r="G619" s="77"/>
      <c r="H619" s="176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 spans="1:28" ht="14.4" customHeight="1" x14ac:dyDescent="0.25">
      <c r="A620" s="77"/>
      <c r="B620" s="77"/>
      <c r="C620" s="77"/>
      <c r="D620" s="77"/>
      <c r="E620" s="77"/>
      <c r="F620" s="77"/>
      <c r="G620" s="77"/>
      <c r="H620" s="176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 spans="1:28" ht="14.4" customHeight="1" x14ac:dyDescent="0.25">
      <c r="A621" s="77"/>
      <c r="B621" s="77"/>
      <c r="C621" s="77"/>
      <c r="D621" s="77"/>
      <c r="E621" s="77"/>
      <c r="F621" s="77"/>
      <c r="G621" s="77"/>
      <c r="H621" s="176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 spans="1:28" ht="14.4" customHeight="1" x14ac:dyDescent="0.25">
      <c r="A622" s="77"/>
      <c r="B622" s="77"/>
      <c r="C622" s="77"/>
      <c r="D622" s="77"/>
      <c r="E622" s="77"/>
      <c r="F622" s="77"/>
      <c r="G622" s="77"/>
      <c r="H622" s="176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 spans="1:28" ht="14.4" customHeight="1" x14ac:dyDescent="0.25">
      <c r="A623" s="77"/>
      <c r="B623" s="77"/>
      <c r="C623" s="77"/>
      <c r="D623" s="77"/>
      <c r="E623" s="77"/>
      <c r="F623" s="77"/>
      <c r="G623" s="77"/>
      <c r="H623" s="176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 spans="1:28" ht="14.4" customHeight="1" x14ac:dyDescent="0.25">
      <c r="A624" s="77"/>
      <c r="B624" s="77"/>
      <c r="C624" s="77"/>
      <c r="D624" s="77"/>
      <c r="E624" s="77"/>
      <c r="F624" s="77"/>
      <c r="G624" s="77"/>
      <c r="H624" s="176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 spans="1:28" ht="14.4" customHeight="1" x14ac:dyDescent="0.25">
      <c r="A625" s="77"/>
      <c r="B625" s="77"/>
      <c r="C625" s="77"/>
      <c r="D625" s="77"/>
      <c r="E625" s="77"/>
      <c r="F625" s="77"/>
      <c r="G625" s="77"/>
      <c r="H625" s="176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 spans="1:28" ht="14.4" customHeight="1" x14ac:dyDescent="0.25">
      <c r="A626" s="77"/>
      <c r="B626" s="77"/>
      <c r="C626" s="77"/>
      <c r="D626" s="77"/>
      <c r="E626" s="77"/>
      <c r="F626" s="77"/>
      <c r="G626" s="77"/>
      <c r="H626" s="176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 spans="1:28" ht="14.4" customHeight="1" x14ac:dyDescent="0.25">
      <c r="A627" s="77"/>
      <c r="B627" s="77"/>
      <c r="C627" s="77"/>
      <c r="D627" s="77"/>
      <c r="E627" s="77"/>
      <c r="F627" s="77"/>
      <c r="G627" s="77"/>
      <c r="H627" s="176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 spans="1:28" ht="14.4" customHeight="1" x14ac:dyDescent="0.25">
      <c r="A628" s="77"/>
      <c r="B628" s="77"/>
      <c r="C628" s="77"/>
      <c r="D628" s="77"/>
      <c r="E628" s="77"/>
      <c r="F628" s="77"/>
      <c r="G628" s="77"/>
      <c r="H628" s="176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 spans="1:28" ht="14.4" customHeight="1" x14ac:dyDescent="0.25">
      <c r="A629" s="77"/>
      <c r="B629" s="77"/>
      <c r="C629" s="77"/>
      <c r="D629" s="77"/>
      <c r="E629" s="77"/>
      <c r="F629" s="77"/>
      <c r="G629" s="77"/>
      <c r="H629" s="176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 spans="1:28" ht="14.4" customHeight="1" x14ac:dyDescent="0.25">
      <c r="A630" s="77"/>
      <c r="B630" s="77"/>
      <c r="C630" s="77"/>
      <c r="D630" s="77"/>
      <c r="E630" s="77"/>
      <c r="F630" s="77"/>
      <c r="G630" s="77"/>
      <c r="H630" s="176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 spans="1:28" ht="14.4" customHeight="1" x14ac:dyDescent="0.25">
      <c r="A631" s="77"/>
      <c r="B631" s="77"/>
      <c r="C631" s="77"/>
      <c r="D631" s="77"/>
      <c r="E631" s="77"/>
      <c r="F631" s="77"/>
      <c r="G631" s="77"/>
      <c r="H631" s="176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 spans="1:28" ht="14.4" customHeight="1" x14ac:dyDescent="0.25">
      <c r="A632" s="77"/>
      <c r="B632" s="77"/>
      <c r="C632" s="77"/>
      <c r="D632" s="77"/>
      <c r="E632" s="77"/>
      <c r="F632" s="77"/>
      <c r="G632" s="77"/>
      <c r="H632" s="176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 spans="1:28" ht="14.4" customHeight="1" x14ac:dyDescent="0.25">
      <c r="A633" s="77"/>
      <c r="B633" s="77"/>
      <c r="C633" s="77"/>
      <c r="D633" s="77"/>
      <c r="E633" s="77"/>
      <c r="F633" s="77"/>
      <c r="G633" s="77"/>
      <c r="H633" s="176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 spans="1:28" ht="14.4" customHeight="1" x14ac:dyDescent="0.25">
      <c r="A634" s="77"/>
      <c r="B634" s="77"/>
      <c r="C634" s="77"/>
      <c r="D634" s="77"/>
      <c r="E634" s="77"/>
      <c r="F634" s="77"/>
      <c r="G634" s="77"/>
      <c r="H634" s="176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 spans="1:28" ht="14.4" customHeight="1" x14ac:dyDescent="0.25">
      <c r="A635" s="77"/>
      <c r="B635" s="77"/>
      <c r="C635" s="77"/>
      <c r="D635" s="77"/>
      <c r="E635" s="77"/>
      <c r="F635" s="77"/>
      <c r="G635" s="77"/>
      <c r="H635" s="176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 spans="1:28" ht="14.4" customHeight="1" x14ac:dyDescent="0.25">
      <c r="A636" s="77"/>
      <c r="B636" s="77"/>
      <c r="C636" s="77"/>
      <c r="D636" s="77"/>
      <c r="E636" s="77"/>
      <c r="F636" s="77"/>
      <c r="G636" s="77"/>
      <c r="H636" s="176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 spans="1:28" ht="14.4" customHeight="1" x14ac:dyDescent="0.25">
      <c r="A637" s="77"/>
      <c r="B637" s="77"/>
      <c r="C637" s="77"/>
      <c r="D637" s="77"/>
      <c r="E637" s="77"/>
      <c r="F637" s="77"/>
      <c r="G637" s="77"/>
      <c r="H637" s="176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 spans="1:28" ht="14.4" customHeight="1" x14ac:dyDescent="0.25">
      <c r="A638" s="77"/>
      <c r="B638" s="77"/>
      <c r="C638" s="77"/>
      <c r="D638" s="77"/>
      <c r="E638" s="77"/>
      <c r="F638" s="77"/>
      <c r="G638" s="77"/>
      <c r="H638" s="176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 spans="1:28" ht="14.4" customHeight="1" x14ac:dyDescent="0.25">
      <c r="A639" s="77"/>
      <c r="B639" s="77"/>
      <c r="C639" s="77"/>
      <c r="D639" s="77"/>
      <c r="E639" s="77"/>
      <c r="F639" s="77"/>
      <c r="G639" s="77"/>
      <c r="H639" s="176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 spans="1:28" ht="14.4" customHeight="1" x14ac:dyDescent="0.25">
      <c r="A640" s="77"/>
      <c r="B640" s="77"/>
      <c r="C640" s="77"/>
      <c r="D640" s="77"/>
      <c r="E640" s="77"/>
      <c r="F640" s="77"/>
      <c r="G640" s="77"/>
      <c r="H640" s="176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 spans="1:28" ht="14.4" customHeight="1" x14ac:dyDescent="0.25">
      <c r="A641" s="77"/>
      <c r="B641" s="77"/>
      <c r="C641" s="77"/>
      <c r="D641" s="77"/>
      <c r="E641" s="77"/>
      <c r="F641" s="77"/>
      <c r="G641" s="77"/>
      <c r="H641" s="176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 spans="1:28" ht="14.4" customHeight="1" x14ac:dyDescent="0.25">
      <c r="A642" s="77"/>
      <c r="B642" s="77"/>
      <c r="C642" s="77"/>
      <c r="D642" s="77"/>
      <c r="E642" s="77"/>
      <c r="F642" s="77"/>
      <c r="G642" s="77"/>
      <c r="H642" s="176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 spans="1:28" ht="14.4" customHeight="1" x14ac:dyDescent="0.25">
      <c r="A643" s="77"/>
      <c r="B643" s="77"/>
      <c r="C643" s="77"/>
      <c r="D643" s="77"/>
      <c r="E643" s="77"/>
      <c r="F643" s="77"/>
      <c r="G643" s="77"/>
      <c r="H643" s="176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 spans="1:28" ht="14.4" customHeight="1" x14ac:dyDescent="0.25">
      <c r="A644" s="77"/>
      <c r="B644" s="77"/>
      <c r="C644" s="77"/>
      <c r="D644" s="77"/>
      <c r="E644" s="77"/>
      <c r="F644" s="77"/>
      <c r="G644" s="77"/>
      <c r="H644" s="176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28" ht="14.4" customHeight="1" x14ac:dyDescent="0.25">
      <c r="A645" s="77"/>
      <c r="B645" s="77"/>
      <c r="C645" s="77"/>
      <c r="D645" s="77"/>
      <c r="E645" s="77"/>
      <c r="F645" s="77"/>
      <c r="G645" s="77"/>
      <c r="H645" s="176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 spans="1:28" ht="14.4" customHeight="1" x14ac:dyDescent="0.25">
      <c r="A646" s="77"/>
      <c r="B646" s="77"/>
      <c r="C646" s="77"/>
      <c r="D646" s="77"/>
      <c r="E646" s="77"/>
      <c r="F646" s="77"/>
      <c r="G646" s="77"/>
      <c r="H646" s="176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 spans="1:28" ht="14.4" customHeight="1" x14ac:dyDescent="0.25">
      <c r="A647" s="77"/>
      <c r="B647" s="77"/>
      <c r="C647" s="77"/>
      <c r="D647" s="77"/>
      <c r="E647" s="77"/>
      <c r="F647" s="77"/>
      <c r="G647" s="77"/>
      <c r="H647" s="176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 spans="1:28" ht="14.4" customHeight="1" x14ac:dyDescent="0.25">
      <c r="A648" s="77"/>
      <c r="B648" s="77"/>
      <c r="C648" s="77"/>
      <c r="D648" s="77"/>
      <c r="E648" s="77"/>
      <c r="F648" s="77"/>
      <c r="G648" s="77"/>
      <c r="H648" s="176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 spans="1:28" ht="14.4" customHeight="1" x14ac:dyDescent="0.25">
      <c r="A649" s="77"/>
      <c r="B649" s="77"/>
      <c r="C649" s="77"/>
      <c r="D649" s="77"/>
      <c r="E649" s="77"/>
      <c r="F649" s="77"/>
      <c r="G649" s="77"/>
      <c r="H649" s="176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 spans="1:28" ht="14.4" customHeight="1" x14ac:dyDescent="0.25">
      <c r="A650" s="77"/>
      <c r="B650" s="77"/>
      <c r="C650" s="77"/>
      <c r="D650" s="77"/>
      <c r="E650" s="77"/>
      <c r="F650" s="77"/>
      <c r="G650" s="77"/>
      <c r="H650" s="176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 spans="1:28" ht="14.4" customHeight="1" x14ac:dyDescent="0.25">
      <c r="A651" s="77"/>
      <c r="B651" s="77"/>
      <c r="C651" s="77"/>
      <c r="D651" s="77"/>
      <c r="E651" s="77"/>
      <c r="F651" s="77"/>
      <c r="G651" s="77"/>
      <c r="H651" s="176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 spans="1:28" ht="14.4" customHeight="1" x14ac:dyDescent="0.25">
      <c r="A652" s="77"/>
      <c r="B652" s="77"/>
      <c r="C652" s="77"/>
      <c r="D652" s="77"/>
      <c r="E652" s="77"/>
      <c r="F652" s="77"/>
      <c r="G652" s="77"/>
      <c r="H652" s="176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 spans="1:28" ht="14.4" customHeight="1" x14ac:dyDescent="0.25">
      <c r="A653" s="77"/>
      <c r="B653" s="77"/>
      <c r="C653" s="77"/>
      <c r="D653" s="77"/>
      <c r="E653" s="77"/>
      <c r="F653" s="77"/>
      <c r="G653" s="77"/>
      <c r="H653" s="176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 spans="1:28" ht="14.4" customHeight="1" x14ac:dyDescent="0.25">
      <c r="A654" s="77"/>
      <c r="B654" s="77"/>
      <c r="C654" s="77"/>
      <c r="D654" s="77"/>
      <c r="E654" s="77"/>
      <c r="F654" s="77"/>
      <c r="G654" s="77"/>
      <c r="H654" s="176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 spans="1:28" ht="14.4" customHeight="1" x14ac:dyDescent="0.25">
      <c r="A655" s="77"/>
      <c r="B655" s="77"/>
      <c r="C655" s="77"/>
      <c r="D655" s="77"/>
      <c r="E655" s="77"/>
      <c r="F655" s="77"/>
      <c r="G655" s="77"/>
      <c r="H655" s="176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 spans="1:28" ht="14.4" customHeight="1" x14ac:dyDescent="0.25">
      <c r="A656" s="77"/>
      <c r="B656" s="77"/>
      <c r="C656" s="77"/>
      <c r="D656" s="77"/>
      <c r="E656" s="77"/>
      <c r="F656" s="77"/>
      <c r="G656" s="77"/>
      <c r="H656" s="176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 spans="1:28" ht="14.4" customHeight="1" x14ac:dyDescent="0.25">
      <c r="A657" s="77"/>
      <c r="B657" s="77"/>
      <c r="C657" s="77"/>
      <c r="D657" s="77"/>
      <c r="E657" s="77"/>
      <c r="F657" s="77"/>
      <c r="G657" s="77"/>
      <c r="H657" s="176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 spans="1:28" ht="14.4" customHeight="1" x14ac:dyDescent="0.25">
      <c r="A658" s="77"/>
      <c r="B658" s="77"/>
      <c r="C658" s="77"/>
      <c r="D658" s="77"/>
      <c r="E658" s="77"/>
      <c r="F658" s="77"/>
      <c r="G658" s="77"/>
      <c r="H658" s="176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 spans="1:28" ht="14.4" customHeight="1" x14ac:dyDescent="0.25">
      <c r="A659" s="77"/>
      <c r="B659" s="77"/>
      <c r="C659" s="77"/>
      <c r="D659" s="77"/>
      <c r="E659" s="77"/>
      <c r="F659" s="77"/>
      <c r="G659" s="77"/>
      <c r="H659" s="176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 spans="1:28" ht="14.4" customHeight="1" x14ac:dyDescent="0.25">
      <c r="A660" s="77"/>
      <c r="B660" s="77"/>
      <c r="C660" s="77"/>
      <c r="D660" s="77"/>
      <c r="E660" s="77"/>
      <c r="F660" s="77"/>
      <c r="G660" s="77"/>
      <c r="H660" s="176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 spans="1:28" ht="14.4" customHeight="1" x14ac:dyDescent="0.25">
      <c r="A661" s="77"/>
      <c r="B661" s="77"/>
      <c r="C661" s="77"/>
      <c r="D661" s="77"/>
      <c r="E661" s="77"/>
      <c r="F661" s="77"/>
      <c r="G661" s="77"/>
      <c r="H661" s="176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 spans="1:28" ht="14.4" customHeight="1" x14ac:dyDescent="0.25">
      <c r="A662" s="77"/>
      <c r="B662" s="77"/>
      <c r="C662" s="77"/>
      <c r="D662" s="77"/>
      <c r="E662" s="77"/>
      <c r="F662" s="77"/>
      <c r="G662" s="77"/>
      <c r="H662" s="176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 spans="1:28" ht="14.4" customHeight="1" x14ac:dyDescent="0.25">
      <c r="A663" s="77"/>
      <c r="B663" s="77"/>
      <c r="C663" s="77"/>
      <c r="D663" s="77"/>
      <c r="E663" s="77"/>
      <c r="F663" s="77"/>
      <c r="G663" s="77"/>
      <c r="H663" s="176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 spans="1:28" ht="14.4" customHeight="1" x14ac:dyDescent="0.25">
      <c r="A664" s="77"/>
      <c r="B664" s="77"/>
      <c r="C664" s="77"/>
      <c r="D664" s="77"/>
      <c r="E664" s="77"/>
      <c r="F664" s="77"/>
      <c r="G664" s="77"/>
      <c r="H664" s="176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 spans="1:28" ht="14.4" customHeight="1" x14ac:dyDescent="0.25">
      <c r="A665" s="77"/>
      <c r="B665" s="77"/>
      <c r="C665" s="77"/>
      <c r="D665" s="77"/>
      <c r="E665" s="77"/>
      <c r="F665" s="77"/>
      <c r="G665" s="77"/>
      <c r="H665" s="176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 spans="1:28" ht="14.4" customHeight="1" x14ac:dyDescent="0.25">
      <c r="A666" s="77"/>
      <c r="B666" s="77"/>
      <c r="C666" s="77"/>
      <c r="D666" s="77"/>
      <c r="E666" s="77"/>
      <c r="F666" s="77"/>
      <c r="G666" s="77"/>
      <c r="H666" s="176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 spans="1:28" ht="14.4" customHeight="1" x14ac:dyDescent="0.25">
      <c r="A667" s="77"/>
      <c r="B667" s="77"/>
      <c r="C667" s="77"/>
      <c r="D667" s="77"/>
      <c r="E667" s="77"/>
      <c r="F667" s="77"/>
      <c r="G667" s="77"/>
      <c r="H667" s="176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 spans="1:28" ht="14.4" customHeight="1" x14ac:dyDescent="0.25">
      <c r="A668" s="77"/>
      <c r="B668" s="77"/>
      <c r="C668" s="77"/>
      <c r="D668" s="77"/>
      <c r="E668" s="77"/>
      <c r="F668" s="77"/>
      <c r="G668" s="77"/>
      <c r="H668" s="176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 spans="1:28" ht="14.4" customHeight="1" x14ac:dyDescent="0.25">
      <c r="A669" s="77"/>
      <c r="B669" s="77"/>
      <c r="C669" s="77"/>
      <c r="D669" s="77"/>
      <c r="E669" s="77"/>
      <c r="F669" s="77"/>
      <c r="G669" s="77"/>
      <c r="H669" s="176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8" ht="14.4" customHeight="1" x14ac:dyDescent="0.25">
      <c r="A670" s="77"/>
      <c r="B670" s="77"/>
      <c r="C670" s="77"/>
      <c r="D670" s="77"/>
      <c r="E670" s="77"/>
      <c r="F670" s="77"/>
      <c r="G670" s="77"/>
      <c r="H670" s="176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 spans="1:28" ht="14.4" customHeight="1" x14ac:dyDescent="0.25">
      <c r="A671" s="77"/>
      <c r="B671" s="77"/>
      <c r="C671" s="77"/>
      <c r="D671" s="77"/>
      <c r="E671" s="77"/>
      <c r="F671" s="77"/>
      <c r="G671" s="77"/>
      <c r="H671" s="176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8" ht="14.4" customHeight="1" x14ac:dyDescent="0.25">
      <c r="A672" s="77"/>
      <c r="B672" s="77"/>
      <c r="C672" s="77"/>
      <c r="D672" s="77"/>
      <c r="E672" s="77"/>
      <c r="F672" s="77"/>
      <c r="G672" s="77"/>
      <c r="H672" s="176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 spans="1:28" ht="14.4" customHeight="1" x14ac:dyDescent="0.25">
      <c r="A673" s="77"/>
      <c r="B673" s="77"/>
      <c r="C673" s="77"/>
      <c r="D673" s="77"/>
      <c r="E673" s="77"/>
      <c r="F673" s="77"/>
      <c r="G673" s="77"/>
      <c r="H673" s="176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 spans="1:28" ht="14.4" customHeight="1" x14ac:dyDescent="0.25">
      <c r="A674" s="77"/>
      <c r="B674" s="77"/>
      <c r="C674" s="77"/>
      <c r="D674" s="77"/>
      <c r="E674" s="77"/>
      <c r="F674" s="77"/>
      <c r="G674" s="77"/>
      <c r="H674" s="176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 ht="14.4" customHeight="1" x14ac:dyDescent="0.25">
      <c r="A675" s="77"/>
      <c r="B675" s="77"/>
      <c r="C675" s="77"/>
      <c r="D675" s="77"/>
      <c r="E675" s="77"/>
      <c r="F675" s="77"/>
      <c r="G675" s="77"/>
      <c r="H675" s="176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 spans="1:28" ht="14.4" customHeight="1" x14ac:dyDescent="0.25">
      <c r="A676" s="77"/>
      <c r="B676" s="77"/>
      <c r="C676" s="77"/>
      <c r="D676" s="77"/>
      <c r="E676" s="77"/>
      <c r="F676" s="77"/>
      <c r="G676" s="77"/>
      <c r="H676" s="176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 spans="1:28" ht="14.4" customHeight="1" x14ac:dyDescent="0.25">
      <c r="A677" s="77"/>
      <c r="B677" s="77"/>
      <c r="C677" s="77"/>
      <c r="D677" s="77"/>
      <c r="E677" s="77"/>
      <c r="F677" s="77"/>
      <c r="G677" s="77"/>
      <c r="H677" s="176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 spans="1:28" ht="14.4" customHeight="1" x14ac:dyDescent="0.25">
      <c r="A678" s="77"/>
      <c r="B678" s="77"/>
      <c r="C678" s="77"/>
      <c r="D678" s="77"/>
      <c r="E678" s="77"/>
      <c r="F678" s="77"/>
      <c r="G678" s="77"/>
      <c r="H678" s="176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 ht="14.4" customHeight="1" x14ac:dyDescent="0.25">
      <c r="A679" s="77"/>
      <c r="B679" s="77"/>
      <c r="C679" s="77"/>
      <c r="D679" s="77"/>
      <c r="E679" s="77"/>
      <c r="F679" s="77"/>
      <c r="G679" s="77"/>
      <c r="H679" s="176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 ht="14.4" customHeight="1" x14ac:dyDescent="0.25">
      <c r="A680" s="77"/>
      <c r="B680" s="77"/>
      <c r="C680" s="77"/>
      <c r="D680" s="77"/>
      <c r="E680" s="77"/>
      <c r="F680" s="77"/>
      <c r="G680" s="77"/>
      <c r="H680" s="176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 spans="1:28" ht="14.4" customHeight="1" x14ac:dyDescent="0.25">
      <c r="A681" s="77"/>
      <c r="B681" s="77"/>
      <c r="C681" s="77"/>
      <c r="D681" s="77"/>
      <c r="E681" s="77"/>
      <c r="F681" s="77"/>
      <c r="G681" s="77"/>
      <c r="H681" s="176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 ht="14.4" customHeight="1" x14ac:dyDescent="0.25">
      <c r="A682" s="77"/>
      <c r="B682" s="77"/>
      <c r="C682" s="77"/>
      <c r="D682" s="77"/>
      <c r="E682" s="77"/>
      <c r="F682" s="77"/>
      <c r="G682" s="77"/>
      <c r="H682" s="176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 ht="14.4" customHeight="1" x14ac:dyDescent="0.25">
      <c r="A683" s="77"/>
      <c r="B683" s="77"/>
      <c r="C683" s="77"/>
      <c r="D683" s="77"/>
      <c r="E683" s="77"/>
      <c r="F683" s="77"/>
      <c r="G683" s="77"/>
      <c r="H683" s="176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 spans="1:28" ht="14.4" customHeight="1" x14ac:dyDescent="0.25">
      <c r="A684" s="77"/>
      <c r="B684" s="77"/>
      <c r="C684" s="77"/>
      <c r="D684" s="77"/>
      <c r="E684" s="77"/>
      <c r="F684" s="77"/>
      <c r="G684" s="77"/>
      <c r="H684" s="176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 spans="1:28" ht="14.4" customHeight="1" x14ac:dyDescent="0.25">
      <c r="A685" s="77"/>
      <c r="B685" s="77"/>
      <c r="C685" s="77"/>
      <c r="D685" s="77"/>
      <c r="E685" s="77"/>
      <c r="F685" s="77"/>
      <c r="G685" s="77"/>
      <c r="H685" s="176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 ht="14.4" customHeight="1" x14ac:dyDescent="0.25">
      <c r="A686" s="77"/>
      <c r="B686" s="77"/>
      <c r="C686" s="77"/>
      <c r="D686" s="77"/>
      <c r="E686" s="77"/>
      <c r="F686" s="77"/>
      <c r="G686" s="77"/>
      <c r="H686" s="176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 ht="14.4" customHeight="1" x14ac:dyDescent="0.25">
      <c r="A687" s="77"/>
      <c r="B687" s="77"/>
      <c r="C687" s="77"/>
      <c r="D687" s="77"/>
      <c r="E687" s="77"/>
      <c r="F687" s="77"/>
      <c r="G687" s="77"/>
      <c r="H687" s="176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 ht="14.4" customHeight="1" x14ac:dyDescent="0.25">
      <c r="A688" s="77"/>
      <c r="B688" s="77"/>
      <c r="C688" s="77"/>
      <c r="D688" s="77"/>
      <c r="E688" s="77"/>
      <c r="F688" s="77"/>
      <c r="G688" s="77"/>
      <c r="H688" s="176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 ht="14.4" customHeight="1" x14ac:dyDescent="0.25">
      <c r="A689" s="77"/>
      <c r="B689" s="77"/>
      <c r="C689" s="77"/>
      <c r="D689" s="77"/>
      <c r="E689" s="77"/>
      <c r="F689" s="77"/>
      <c r="G689" s="77"/>
      <c r="H689" s="176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 spans="1:28" ht="14.4" customHeight="1" x14ac:dyDescent="0.25">
      <c r="A690" s="77"/>
      <c r="B690" s="77"/>
      <c r="C690" s="77"/>
      <c r="D690" s="77"/>
      <c r="E690" s="77"/>
      <c r="F690" s="77"/>
      <c r="G690" s="77"/>
      <c r="H690" s="176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 ht="14.4" customHeight="1" x14ac:dyDescent="0.25">
      <c r="A691" s="77"/>
      <c r="B691" s="77"/>
      <c r="C691" s="77"/>
      <c r="D691" s="77"/>
      <c r="E691" s="77"/>
      <c r="F691" s="77"/>
      <c r="G691" s="77"/>
      <c r="H691" s="176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 spans="1:28" ht="14.4" customHeight="1" x14ac:dyDescent="0.25">
      <c r="A692" s="77"/>
      <c r="B692" s="77"/>
      <c r="C692" s="77"/>
      <c r="D692" s="77"/>
      <c r="E692" s="77"/>
      <c r="F692" s="77"/>
      <c r="G692" s="77"/>
      <c r="H692" s="176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 ht="14.4" customHeight="1" x14ac:dyDescent="0.25">
      <c r="A693" s="77"/>
      <c r="B693" s="77"/>
      <c r="C693" s="77"/>
      <c r="D693" s="77"/>
      <c r="E693" s="77"/>
      <c r="F693" s="77"/>
      <c r="G693" s="77"/>
      <c r="H693" s="176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 spans="1:28" ht="14.4" customHeight="1" x14ac:dyDescent="0.25">
      <c r="A694" s="77"/>
      <c r="B694" s="77"/>
      <c r="C694" s="77"/>
      <c r="D694" s="77"/>
      <c r="E694" s="77"/>
      <c r="F694" s="77"/>
      <c r="G694" s="77"/>
      <c r="H694" s="176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 ht="14.4" customHeight="1" x14ac:dyDescent="0.25">
      <c r="A695" s="77"/>
      <c r="B695" s="77"/>
      <c r="C695" s="77"/>
      <c r="D695" s="77"/>
      <c r="E695" s="77"/>
      <c r="F695" s="77"/>
      <c r="G695" s="77"/>
      <c r="H695" s="176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 ht="14.4" customHeight="1" x14ac:dyDescent="0.25">
      <c r="A696" s="77"/>
      <c r="B696" s="77"/>
      <c r="C696" s="77"/>
      <c r="D696" s="77"/>
      <c r="E696" s="77"/>
      <c r="F696" s="77"/>
      <c r="G696" s="77"/>
      <c r="H696" s="176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 ht="14.4" customHeight="1" x14ac:dyDescent="0.25">
      <c r="A697" s="77"/>
      <c r="B697" s="77"/>
      <c r="C697" s="77"/>
      <c r="D697" s="77"/>
      <c r="E697" s="77"/>
      <c r="F697" s="77"/>
      <c r="G697" s="77"/>
      <c r="H697" s="176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 spans="1:28" ht="14.4" customHeight="1" x14ac:dyDescent="0.25">
      <c r="A698" s="77"/>
      <c r="B698" s="77"/>
      <c r="C698" s="77"/>
      <c r="D698" s="77"/>
      <c r="E698" s="77"/>
      <c r="F698" s="77"/>
      <c r="G698" s="77"/>
      <c r="H698" s="176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 spans="1:28" ht="14.4" customHeight="1" x14ac:dyDescent="0.25">
      <c r="A699" s="77"/>
      <c r="B699" s="77"/>
      <c r="C699" s="77"/>
      <c r="D699" s="77"/>
      <c r="E699" s="77"/>
      <c r="F699" s="77"/>
      <c r="G699" s="77"/>
      <c r="H699" s="176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 ht="14.4" customHeight="1" x14ac:dyDescent="0.25">
      <c r="A700" s="77"/>
      <c r="B700" s="77"/>
      <c r="C700" s="77"/>
      <c r="D700" s="77"/>
      <c r="E700" s="77"/>
      <c r="F700" s="77"/>
      <c r="G700" s="77"/>
      <c r="H700" s="176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 ht="14.4" customHeight="1" x14ac:dyDescent="0.25">
      <c r="A701" s="77"/>
      <c r="B701" s="77"/>
      <c r="C701" s="77"/>
      <c r="D701" s="77"/>
      <c r="E701" s="77"/>
      <c r="F701" s="77"/>
      <c r="G701" s="77"/>
      <c r="H701" s="176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 ht="14.4" customHeight="1" x14ac:dyDescent="0.25">
      <c r="A702" s="77"/>
      <c r="B702" s="77"/>
      <c r="C702" s="77"/>
      <c r="D702" s="77"/>
      <c r="E702" s="77"/>
      <c r="F702" s="77"/>
      <c r="G702" s="77"/>
      <c r="H702" s="176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 ht="14.4" customHeight="1" x14ac:dyDescent="0.25">
      <c r="A703" s="77"/>
      <c r="B703" s="77"/>
      <c r="C703" s="77"/>
      <c r="D703" s="77"/>
      <c r="E703" s="77"/>
      <c r="F703" s="77"/>
      <c r="G703" s="77"/>
      <c r="H703" s="176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 ht="14.4" customHeight="1" x14ac:dyDescent="0.25">
      <c r="A704" s="77"/>
      <c r="B704" s="77"/>
      <c r="C704" s="77"/>
      <c r="D704" s="77"/>
      <c r="E704" s="77"/>
      <c r="F704" s="77"/>
      <c r="G704" s="77"/>
      <c r="H704" s="176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 spans="1:28" ht="14.4" customHeight="1" x14ac:dyDescent="0.25">
      <c r="A705" s="77"/>
      <c r="B705" s="77"/>
      <c r="C705" s="77"/>
      <c r="D705" s="77"/>
      <c r="E705" s="77"/>
      <c r="F705" s="77"/>
      <c r="G705" s="77"/>
      <c r="H705" s="176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 spans="1:28" ht="14.4" customHeight="1" x14ac:dyDescent="0.25">
      <c r="A706" s="77"/>
      <c r="B706" s="77"/>
      <c r="C706" s="77"/>
      <c r="D706" s="77"/>
      <c r="E706" s="77"/>
      <c r="F706" s="77"/>
      <c r="G706" s="77"/>
      <c r="H706" s="176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 spans="1:28" ht="14.4" customHeight="1" x14ac:dyDescent="0.25">
      <c r="A707" s="77"/>
      <c r="B707" s="77"/>
      <c r="C707" s="77"/>
      <c r="D707" s="77"/>
      <c r="E707" s="77"/>
      <c r="F707" s="77"/>
      <c r="G707" s="77"/>
      <c r="H707" s="176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 ht="14.4" customHeight="1" x14ac:dyDescent="0.25">
      <c r="A708" s="77"/>
      <c r="B708" s="77"/>
      <c r="C708" s="77"/>
      <c r="D708" s="77"/>
      <c r="E708" s="77"/>
      <c r="F708" s="77"/>
      <c r="G708" s="77"/>
      <c r="H708" s="176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 ht="14.4" customHeight="1" x14ac:dyDescent="0.25">
      <c r="A709" s="77"/>
      <c r="B709" s="77"/>
      <c r="C709" s="77"/>
      <c r="D709" s="77"/>
      <c r="E709" s="77"/>
      <c r="F709" s="77"/>
      <c r="G709" s="77"/>
      <c r="H709" s="176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 ht="14.4" customHeight="1" x14ac:dyDescent="0.25">
      <c r="A710" s="77"/>
      <c r="B710" s="77"/>
      <c r="C710" s="77"/>
      <c r="D710" s="77"/>
      <c r="E710" s="77"/>
      <c r="F710" s="77"/>
      <c r="G710" s="77"/>
      <c r="H710" s="176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 ht="14.4" customHeight="1" x14ac:dyDescent="0.25">
      <c r="A711" s="77"/>
      <c r="B711" s="77"/>
      <c r="C711" s="77"/>
      <c r="D711" s="77"/>
      <c r="E711" s="77"/>
      <c r="F711" s="77"/>
      <c r="G711" s="77"/>
      <c r="H711" s="176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 spans="1:28" ht="14.4" customHeight="1" x14ac:dyDescent="0.25">
      <c r="A712" s="77"/>
      <c r="B712" s="77"/>
      <c r="C712" s="77"/>
      <c r="D712" s="77"/>
      <c r="E712" s="77"/>
      <c r="F712" s="77"/>
      <c r="G712" s="77"/>
      <c r="H712" s="176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 spans="1:28" ht="14.4" customHeight="1" x14ac:dyDescent="0.25">
      <c r="A713" s="77"/>
      <c r="B713" s="77"/>
      <c r="C713" s="77"/>
      <c r="D713" s="77"/>
      <c r="E713" s="77"/>
      <c r="F713" s="77"/>
      <c r="G713" s="77"/>
      <c r="H713" s="176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 spans="1:28" ht="14.4" customHeight="1" x14ac:dyDescent="0.25">
      <c r="A714" s="77"/>
      <c r="B714" s="77"/>
      <c r="C714" s="77"/>
      <c r="D714" s="77"/>
      <c r="E714" s="77"/>
      <c r="F714" s="77"/>
      <c r="G714" s="77"/>
      <c r="H714" s="176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 spans="1:28" ht="14.4" customHeight="1" x14ac:dyDescent="0.25">
      <c r="A715" s="77"/>
      <c r="B715" s="77"/>
      <c r="C715" s="77"/>
      <c r="D715" s="77"/>
      <c r="E715" s="77"/>
      <c r="F715" s="77"/>
      <c r="G715" s="77"/>
      <c r="H715" s="176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 spans="1:28" ht="14.4" customHeight="1" x14ac:dyDescent="0.25">
      <c r="A716" s="77"/>
      <c r="B716" s="77"/>
      <c r="C716" s="77"/>
      <c r="D716" s="77"/>
      <c r="E716" s="77"/>
      <c r="F716" s="77"/>
      <c r="G716" s="77"/>
      <c r="H716" s="176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 spans="1:28" ht="14.4" customHeight="1" x14ac:dyDescent="0.25">
      <c r="A717" s="77"/>
      <c r="B717" s="77"/>
      <c r="C717" s="77"/>
      <c r="D717" s="77"/>
      <c r="E717" s="77"/>
      <c r="F717" s="77"/>
      <c r="G717" s="77"/>
      <c r="H717" s="176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 spans="1:28" ht="14.4" customHeight="1" x14ac:dyDescent="0.25">
      <c r="A718" s="77"/>
      <c r="B718" s="77"/>
      <c r="C718" s="77"/>
      <c r="D718" s="77"/>
      <c r="E718" s="77"/>
      <c r="F718" s="77"/>
      <c r="G718" s="77"/>
      <c r="H718" s="176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 spans="1:28" ht="14.4" customHeight="1" x14ac:dyDescent="0.25">
      <c r="A719" s="77"/>
      <c r="B719" s="77"/>
      <c r="C719" s="77"/>
      <c r="D719" s="77"/>
      <c r="E719" s="77"/>
      <c r="F719" s="77"/>
      <c r="G719" s="77"/>
      <c r="H719" s="176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 ht="14.4" customHeight="1" x14ac:dyDescent="0.25">
      <c r="A720" s="77"/>
      <c r="B720" s="77"/>
      <c r="C720" s="77"/>
      <c r="D720" s="77"/>
      <c r="E720" s="77"/>
      <c r="F720" s="77"/>
      <c r="G720" s="77"/>
      <c r="H720" s="176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 spans="1:28" ht="14.4" customHeight="1" x14ac:dyDescent="0.25">
      <c r="A721" s="77"/>
      <c r="B721" s="77"/>
      <c r="C721" s="77"/>
      <c r="D721" s="77"/>
      <c r="E721" s="77"/>
      <c r="F721" s="77"/>
      <c r="G721" s="77"/>
      <c r="H721" s="176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 spans="1:28" ht="14.4" customHeight="1" x14ac:dyDescent="0.25">
      <c r="A722" s="77"/>
      <c r="B722" s="77"/>
      <c r="C722" s="77"/>
      <c r="D722" s="77"/>
      <c r="E722" s="77"/>
      <c r="F722" s="77"/>
      <c r="G722" s="77"/>
      <c r="H722" s="176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 ht="14.4" customHeight="1" x14ac:dyDescent="0.25">
      <c r="A723" s="77"/>
      <c r="B723" s="77"/>
      <c r="C723" s="77"/>
      <c r="D723" s="77"/>
      <c r="E723" s="77"/>
      <c r="F723" s="77"/>
      <c r="G723" s="77"/>
      <c r="H723" s="176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 spans="1:28" ht="14.4" customHeight="1" x14ac:dyDescent="0.25">
      <c r="A724" s="77"/>
      <c r="B724" s="77"/>
      <c r="C724" s="77"/>
      <c r="D724" s="77"/>
      <c r="E724" s="77"/>
      <c r="F724" s="77"/>
      <c r="G724" s="77"/>
      <c r="H724" s="176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 spans="1:28" ht="14.4" customHeight="1" x14ac:dyDescent="0.25">
      <c r="A725" s="77"/>
      <c r="B725" s="77"/>
      <c r="C725" s="77"/>
      <c r="D725" s="77"/>
      <c r="E725" s="77"/>
      <c r="F725" s="77"/>
      <c r="G725" s="77"/>
      <c r="H725" s="176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 spans="1:28" ht="14.4" customHeight="1" x14ac:dyDescent="0.25">
      <c r="A726" s="77"/>
      <c r="B726" s="77"/>
      <c r="C726" s="77"/>
      <c r="D726" s="77"/>
      <c r="E726" s="77"/>
      <c r="F726" s="77"/>
      <c r="G726" s="77"/>
      <c r="H726" s="176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 spans="1:28" ht="14.4" customHeight="1" x14ac:dyDescent="0.25">
      <c r="A727" s="77"/>
      <c r="B727" s="77"/>
      <c r="C727" s="77"/>
      <c r="D727" s="77"/>
      <c r="E727" s="77"/>
      <c r="F727" s="77"/>
      <c r="G727" s="77"/>
      <c r="H727" s="176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 spans="1:28" ht="14.4" customHeight="1" x14ac:dyDescent="0.25">
      <c r="A728" s="77"/>
      <c r="B728" s="77"/>
      <c r="C728" s="77"/>
      <c r="D728" s="77"/>
      <c r="E728" s="77"/>
      <c r="F728" s="77"/>
      <c r="G728" s="77"/>
      <c r="H728" s="176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 spans="1:28" ht="14.4" customHeight="1" x14ac:dyDescent="0.25">
      <c r="A729" s="77"/>
      <c r="B729" s="77"/>
      <c r="C729" s="77"/>
      <c r="D729" s="77"/>
      <c r="E729" s="77"/>
      <c r="F729" s="77"/>
      <c r="G729" s="77"/>
      <c r="H729" s="176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 ht="14.4" customHeight="1" x14ac:dyDescent="0.25">
      <c r="A730" s="77"/>
      <c r="B730" s="77"/>
      <c r="C730" s="77"/>
      <c r="D730" s="77"/>
      <c r="E730" s="77"/>
      <c r="F730" s="77"/>
      <c r="G730" s="77"/>
      <c r="H730" s="176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 ht="14.4" customHeight="1" x14ac:dyDescent="0.25">
      <c r="A731" s="77"/>
      <c r="B731" s="77"/>
      <c r="C731" s="77"/>
      <c r="D731" s="77"/>
      <c r="E731" s="77"/>
      <c r="F731" s="77"/>
      <c r="G731" s="77"/>
      <c r="H731" s="176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 ht="14.4" customHeight="1" x14ac:dyDescent="0.25">
      <c r="A732" s="77"/>
      <c r="B732" s="77"/>
      <c r="C732" s="77"/>
      <c r="D732" s="77"/>
      <c r="E732" s="77"/>
      <c r="F732" s="77"/>
      <c r="G732" s="77"/>
      <c r="H732" s="176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 spans="1:28" ht="14.4" customHeight="1" x14ac:dyDescent="0.25">
      <c r="A733" s="77"/>
      <c r="B733" s="77"/>
      <c r="C733" s="77"/>
      <c r="D733" s="77"/>
      <c r="E733" s="77"/>
      <c r="F733" s="77"/>
      <c r="G733" s="77"/>
      <c r="H733" s="176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 ht="14.4" customHeight="1" x14ac:dyDescent="0.25">
      <c r="A734" s="77"/>
      <c r="B734" s="77"/>
      <c r="C734" s="77"/>
      <c r="D734" s="77"/>
      <c r="E734" s="77"/>
      <c r="F734" s="77"/>
      <c r="G734" s="77"/>
      <c r="H734" s="176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 ht="14.4" customHeight="1" x14ac:dyDescent="0.25">
      <c r="A735" s="77"/>
      <c r="B735" s="77"/>
      <c r="C735" s="77"/>
      <c r="D735" s="77"/>
      <c r="E735" s="77"/>
      <c r="F735" s="77"/>
      <c r="G735" s="77"/>
      <c r="H735" s="176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 ht="14.4" customHeight="1" x14ac:dyDescent="0.25">
      <c r="A736" s="77"/>
      <c r="B736" s="77"/>
      <c r="C736" s="77"/>
      <c r="D736" s="77"/>
      <c r="E736" s="77"/>
      <c r="F736" s="77"/>
      <c r="G736" s="77"/>
      <c r="H736" s="176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 spans="1:28" ht="14.4" customHeight="1" x14ac:dyDescent="0.25">
      <c r="A737" s="77"/>
      <c r="B737" s="77"/>
      <c r="C737" s="77"/>
      <c r="D737" s="77"/>
      <c r="E737" s="77"/>
      <c r="F737" s="77"/>
      <c r="G737" s="77"/>
      <c r="H737" s="176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 ht="14.4" customHeight="1" x14ac:dyDescent="0.25">
      <c r="A738" s="77"/>
      <c r="B738" s="77"/>
      <c r="C738" s="77"/>
      <c r="D738" s="77"/>
      <c r="E738" s="77"/>
      <c r="F738" s="77"/>
      <c r="G738" s="77"/>
      <c r="H738" s="176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 ht="14.4" customHeight="1" x14ac:dyDescent="0.25">
      <c r="A739" s="77"/>
      <c r="B739" s="77"/>
      <c r="C739" s="77"/>
      <c r="D739" s="77"/>
      <c r="E739" s="77"/>
      <c r="F739" s="77"/>
      <c r="G739" s="77"/>
      <c r="H739" s="176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 spans="1:28" ht="14.4" customHeight="1" x14ac:dyDescent="0.25">
      <c r="A740" s="77"/>
      <c r="B740" s="77"/>
      <c r="C740" s="77"/>
      <c r="D740" s="77"/>
      <c r="E740" s="77"/>
      <c r="F740" s="77"/>
      <c r="G740" s="77"/>
      <c r="H740" s="176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 ht="14.4" customHeight="1" x14ac:dyDescent="0.25">
      <c r="A741" s="77"/>
      <c r="B741" s="77"/>
      <c r="C741" s="77"/>
      <c r="D741" s="77"/>
      <c r="E741" s="77"/>
      <c r="F741" s="77"/>
      <c r="G741" s="77"/>
      <c r="H741" s="176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 ht="14.4" customHeight="1" x14ac:dyDescent="0.25">
      <c r="A742" s="77"/>
      <c r="B742" s="77"/>
      <c r="C742" s="77"/>
      <c r="D742" s="77"/>
      <c r="E742" s="77"/>
      <c r="F742" s="77"/>
      <c r="G742" s="77"/>
      <c r="H742" s="176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 spans="1:28" ht="14.4" customHeight="1" x14ac:dyDescent="0.25">
      <c r="A743" s="77"/>
      <c r="B743" s="77"/>
      <c r="C743" s="77"/>
      <c r="D743" s="77"/>
      <c r="E743" s="77"/>
      <c r="F743" s="77"/>
      <c r="G743" s="77"/>
      <c r="H743" s="176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 spans="1:28" ht="14.4" customHeight="1" x14ac:dyDescent="0.25">
      <c r="A744" s="77"/>
      <c r="B744" s="77"/>
      <c r="C744" s="77"/>
      <c r="D744" s="77"/>
      <c r="E744" s="77"/>
      <c r="F744" s="77"/>
      <c r="G744" s="77"/>
      <c r="H744" s="176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 spans="1:28" ht="14.4" customHeight="1" x14ac:dyDescent="0.25">
      <c r="A745" s="77"/>
      <c r="B745" s="77"/>
      <c r="C745" s="77"/>
      <c r="D745" s="77"/>
      <c r="E745" s="77"/>
      <c r="F745" s="77"/>
      <c r="G745" s="77"/>
      <c r="H745" s="176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 spans="1:28" ht="14.4" customHeight="1" x14ac:dyDescent="0.25">
      <c r="A746" s="77"/>
      <c r="B746" s="77"/>
      <c r="C746" s="77"/>
      <c r="D746" s="77"/>
      <c r="E746" s="77"/>
      <c r="F746" s="77"/>
      <c r="G746" s="77"/>
      <c r="H746" s="176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 spans="1:28" ht="14.4" customHeight="1" x14ac:dyDescent="0.25">
      <c r="A747" s="77"/>
      <c r="B747" s="77"/>
      <c r="C747" s="77"/>
      <c r="D747" s="77"/>
      <c r="E747" s="77"/>
      <c r="F747" s="77"/>
      <c r="G747" s="77"/>
      <c r="H747" s="176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 spans="1:28" ht="14.4" customHeight="1" x14ac:dyDescent="0.25">
      <c r="A748" s="77"/>
      <c r="B748" s="77"/>
      <c r="C748" s="77"/>
      <c r="D748" s="77"/>
      <c r="E748" s="77"/>
      <c r="F748" s="77"/>
      <c r="G748" s="77"/>
      <c r="H748" s="176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 spans="1:28" ht="14.4" customHeight="1" x14ac:dyDescent="0.25">
      <c r="A749" s="77"/>
      <c r="B749" s="77"/>
      <c r="C749" s="77"/>
      <c r="D749" s="77"/>
      <c r="E749" s="77"/>
      <c r="F749" s="77"/>
      <c r="G749" s="77"/>
      <c r="H749" s="176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 spans="1:28" ht="14.4" customHeight="1" x14ac:dyDescent="0.25">
      <c r="A750" s="77"/>
      <c r="B750" s="77"/>
      <c r="C750" s="77"/>
      <c r="D750" s="77"/>
      <c r="E750" s="77"/>
      <c r="F750" s="77"/>
      <c r="G750" s="77"/>
      <c r="H750" s="176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 spans="1:28" ht="14.4" customHeight="1" x14ac:dyDescent="0.25">
      <c r="A751" s="77"/>
      <c r="B751" s="77"/>
      <c r="C751" s="77"/>
      <c r="D751" s="77"/>
      <c r="E751" s="77"/>
      <c r="F751" s="77"/>
      <c r="G751" s="77"/>
      <c r="H751" s="176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 spans="1:28" ht="14.4" customHeight="1" x14ac:dyDescent="0.25">
      <c r="A752" s="77"/>
      <c r="B752" s="77"/>
      <c r="C752" s="77"/>
      <c r="D752" s="77"/>
      <c r="E752" s="77"/>
      <c r="F752" s="77"/>
      <c r="G752" s="77"/>
      <c r="H752" s="176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 spans="1:28" ht="14.4" customHeight="1" x14ac:dyDescent="0.25">
      <c r="A753" s="77"/>
      <c r="B753" s="77"/>
      <c r="C753" s="77"/>
      <c r="D753" s="77"/>
      <c r="E753" s="77"/>
      <c r="F753" s="77"/>
      <c r="G753" s="77"/>
      <c r="H753" s="176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 spans="1:28" ht="14.4" customHeight="1" x14ac:dyDescent="0.25">
      <c r="A754" s="77"/>
      <c r="B754" s="77"/>
      <c r="C754" s="77"/>
      <c r="D754" s="77"/>
      <c r="E754" s="77"/>
      <c r="F754" s="77"/>
      <c r="G754" s="77"/>
      <c r="H754" s="176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 spans="1:28" ht="14.4" customHeight="1" x14ac:dyDescent="0.25">
      <c r="A755" s="77"/>
      <c r="B755" s="77"/>
      <c r="C755" s="77"/>
      <c r="D755" s="77"/>
      <c r="E755" s="77"/>
      <c r="F755" s="77"/>
      <c r="G755" s="77"/>
      <c r="H755" s="176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 spans="1:28" ht="14.4" customHeight="1" x14ac:dyDescent="0.25">
      <c r="A756" s="77"/>
      <c r="B756" s="77"/>
      <c r="C756" s="77"/>
      <c r="D756" s="77"/>
      <c r="E756" s="77"/>
      <c r="F756" s="77"/>
      <c r="G756" s="77"/>
      <c r="H756" s="176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 spans="1:28" ht="14.4" customHeight="1" x14ac:dyDescent="0.25">
      <c r="A757" s="77"/>
      <c r="B757" s="77"/>
      <c r="C757" s="77"/>
      <c r="D757" s="77"/>
      <c r="E757" s="77"/>
      <c r="F757" s="77"/>
      <c r="G757" s="77"/>
      <c r="H757" s="176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 spans="1:28" ht="14.4" customHeight="1" x14ac:dyDescent="0.25">
      <c r="A758" s="77"/>
      <c r="B758" s="77"/>
      <c r="C758" s="77"/>
      <c r="D758" s="77"/>
      <c r="E758" s="77"/>
      <c r="F758" s="77"/>
      <c r="G758" s="77"/>
      <c r="H758" s="176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 spans="1:28" ht="14.4" customHeight="1" x14ac:dyDescent="0.25">
      <c r="A759" s="77"/>
      <c r="B759" s="77"/>
      <c r="C759" s="77"/>
      <c r="D759" s="77"/>
      <c r="E759" s="77"/>
      <c r="F759" s="77"/>
      <c r="G759" s="77"/>
      <c r="H759" s="176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 spans="1:28" ht="14.4" customHeight="1" x14ac:dyDescent="0.25">
      <c r="A760" s="77"/>
      <c r="B760" s="77"/>
      <c r="C760" s="77"/>
      <c r="D760" s="77"/>
      <c r="E760" s="77"/>
      <c r="F760" s="77"/>
      <c r="G760" s="77"/>
      <c r="H760" s="176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 spans="1:28" ht="14.4" customHeight="1" x14ac:dyDescent="0.25">
      <c r="A761" s="77"/>
      <c r="B761" s="77"/>
      <c r="C761" s="77"/>
      <c r="D761" s="77"/>
      <c r="E761" s="77"/>
      <c r="F761" s="77"/>
      <c r="G761" s="77"/>
      <c r="H761" s="176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 spans="1:28" ht="14.4" customHeight="1" x14ac:dyDescent="0.25">
      <c r="A762" s="77"/>
      <c r="B762" s="77"/>
      <c r="C762" s="77"/>
      <c r="D762" s="77"/>
      <c r="E762" s="77"/>
      <c r="F762" s="77"/>
      <c r="G762" s="77"/>
      <c r="H762" s="176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 spans="1:28" ht="14.4" customHeight="1" x14ac:dyDescent="0.25">
      <c r="A763" s="77"/>
      <c r="B763" s="77"/>
      <c r="C763" s="77"/>
      <c r="D763" s="77"/>
      <c r="E763" s="77"/>
      <c r="F763" s="77"/>
      <c r="G763" s="77"/>
      <c r="H763" s="176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 spans="1:28" ht="14.4" customHeight="1" x14ac:dyDescent="0.25">
      <c r="A764" s="77"/>
      <c r="B764" s="77"/>
      <c r="C764" s="77"/>
      <c r="D764" s="77"/>
      <c r="E764" s="77"/>
      <c r="F764" s="77"/>
      <c r="G764" s="77"/>
      <c r="H764" s="176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 spans="1:28" ht="14.4" customHeight="1" x14ac:dyDescent="0.25">
      <c r="A765" s="77"/>
      <c r="B765" s="77"/>
      <c r="C765" s="77"/>
      <c r="D765" s="77"/>
      <c r="E765" s="77"/>
      <c r="F765" s="77"/>
      <c r="G765" s="77"/>
      <c r="H765" s="176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 spans="1:28" ht="14.4" customHeight="1" x14ac:dyDescent="0.25">
      <c r="A766" s="77"/>
      <c r="B766" s="77"/>
      <c r="C766" s="77"/>
      <c r="D766" s="77"/>
      <c r="E766" s="77"/>
      <c r="F766" s="77"/>
      <c r="G766" s="77"/>
      <c r="H766" s="176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 spans="1:28" ht="14.4" customHeight="1" x14ac:dyDescent="0.25">
      <c r="A767" s="77"/>
      <c r="B767" s="77"/>
      <c r="C767" s="77"/>
      <c r="D767" s="77"/>
      <c r="E767" s="77"/>
      <c r="F767" s="77"/>
      <c r="G767" s="77"/>
      <c r="H767" s="176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 spans="1:28" ht="14.4" customHeight="1" x14ac:dyDescent="0.25">
      <c r="A768" s="77"/>
      <c r="B768" s="77"/>
      <c r="C768" s="77"/>
      <c r="D768" s="77"/>
      <c r="E768" s="77"/>
      <c r="F768" s="77"/>
      <c r="G768" s="77"/>
      <c r="H768" s="176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 spans="1:28" ht="14.4" customHeight="1" x14ac:dyDescent="0.25">
      <c r="A769" s="77"/>
      <c r="B769" s="77"/>
      <c r="C769" s="77"/>
      <c r="D769" s="77"/>
      <c r="E769" s="77"/>
      <c r="F769" s="77"/>
      <c r="G769" s="77"/>
      <c r="H769" s="176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 spans="1:28" ht="14.4" customHeight="1" x14ac:dyDescent="0.25">
      <c r="A770" s="77"/>
      <c r="B770" s="77"/>
      <c r="C770" s="77"/>
      <c r="D770" s="77"/>
      <c r="E770" s="77"/>
      <c r="F770" s="77"/>
      <c r="G770" s="77"/>
      <c r="H770" s="176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 spans="1:28" ht="14.4" customHeight="1" x14ac:dyDescent="0.25">
      <c r="A771" s="77"/>
      <c r="B771" s="77"/>
      <c r="C771" s="77"/>
      <c r="D771" s="77"/>
      <c r="E771" s="77"/>
      <c r="F771" s="77"/>
      <c r="G771" s="77"/>
      <c r="H771" s="176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 spans="1:28" ht="14.4" customHeight="1" x14ac:dyDescent="0.25">
      <c r="A772" s="77"/>
      <c r="B772" s="77"/>
      <c r="C772" s="77"/>
      <c r="D772" s="77"/>
      <c r="E772" s="77"/>
      <c r="F772" s="77"/>
      <c r="G772" s="77"/>
      <c r="H772" s="176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 spans="1:28" ht="14.4" customHeight="1" x14ac:dyDescent="0.25">
      <c r="A773" s="77"/>
      <c r="B773" s="77"/>
      <c r="C773" s="77"/>
      <c r="D773" s="77"/>
      <c r="E773" s="77"/>
      <c r="F773" s="77"/>
      <c r="G773" s="77"/>
      <c r="H773" s="176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 spans="1:28" ht="14.4" customHeight="1" x14ac:dyDescent="0.25">
      <c r="A774" s="77"/>
      <c r="B774" s="77"/>
      <c r="C774" s="77"/>
      <c r="D774" s="77"/>
      <c r="E774" s="77"/>
      <c r="F774" s="77"/>
      <c r="G774" s="77"/>
      <c r="H774" s="176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 spans="1:28" ht="14.4" customHeight="1" x14ac:dyDescent="0.25">
      <c r="A775" s="77"/>
      <c r="B775" s="77"/>
      <c r="C775" s="77"/>
      <c r="D775" s="77"/>
      <c r="E775" s="77"/>
      <c r="F775" s="77"/>
      <c r="G775" s="77"/>
      <c r="H775" s="176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 spans="1:28" ht="14.4" customHeight="1" x14ac:dyDescent="0.25">
      <c r="A776" s="77"/>
      <c r="B776" s="77"/>
      <c r="C776" s="77"/>
      <c r="D776" s="77"/>
      <c r="E776" s="77"/>
      <c r="F776" s="77"/>
      <c r="G776" s="77"/>
      <c r="H776" s="176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 spans="1:28" ht="14.4" customHeight="1" x14ac:dyDescent="0.25">
      <c r="A777" s="77"/>
      <c r="B777" s="77"/>
      <c r="C777" s="77"/>
      <c r="D777" s="77"/>
      <c r="E777" s="77"/>
      <c r="F777" s="77"/>
      <c r="G777" s="77"/>
      <c r="H777" s="176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 spans="1:28" ht="14.4" customHeight="1" x14ac:dyDescent="0.25">
      <c r="A778" s="77"/>
      <c r="B778" s="77"/>
      <c r="C778" s="77"/>
      <c r="D778" s="77"/>
      <c r="E778" s="77"/>
      <c r="F778" s="77"/>
      <c r="G778" s="77"/>
      <c r="H778" s="176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 spans="1:28" ht="14.4" customHeight="1" x14ac:dyDescent="0.25">
      <c r="A779" s="77"/>
      <c r="B779" s="77"/>
      <c r="C779" s="77"/>
      <c r="D779" s="77"/>
      <c r="E779" s="77"/>
      <c r="F779" s="77"/>
      <c r="G779" s="77"/>
      <c r="H779" s="176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 spans="1:28" ht="14.4" customHeight="1" x14ac:dyDescent="0.25">
      <c r="A780" s="77"/>
      <c r="B780" s="77"/>
      <c r="C780" s="77"/>
      <c r="D780" s="77"/>
      <c r="E780" s="77"/>
      <c r="F780" s="77"/>
      <c r="G780" s="77"/>
      <c r="H780" s="176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 spans="1:28" ht="14.4" customHeight="1" x14ac:dyDescent="0.25">
      <c r="A781" s="77"/>
      <c r="B781" s="77"/>
      <c r="C781" s="77"/>
      <c r="D781" s="77"/>
      <c r="E781" s="77"/>
      <c r="F781" s="77"/>
      <c r="G781" s="77"/>
      <c r="H781" s="176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 spans="1:28" ht="14.4" customHeight="1" x14ac:dyDescent="0.25">
      <c r="A782" s="77"/>
      <c r="B782" s="77"/>
      <c r="C782" s="77"/>
      <c r="D782" s="77"/>
      <c r="E782" s="77"/>
      <c r="F782" s="77"/>
      <c r="G782" s="77"/>
      <c r="H782" s="176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 spans="1:28" ht="14.4" customHeight="1" x14ac:dyDescent="0.25">
      <c r="A783" s="77"/>
      <c r="B783" s="77"/>
      <c r="C783" s="77"/>
      <c r="D783" s="77"/>
      <c r="E783" s="77"/>
      <c r="F783" s="77"/>
      <c r="G783" s="77"/>
      <c r="H783" s="176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 spans="1:28" ht="14.4" customHeight="1" x14ac:dyDescent="0.25">
      <c r="A784" s="77"/>
      <c r="B784" s="77"/>
      <c r="C784" s="77"/>
      <c r="D784" s="77"/>
      <c r="E784" s="77"/>
      <c r="F784" s="77"/>
      <c r="G784" s="77"/>
      <c r="H784" s="176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 spans="1:28" ht="14.4" customHeight="1" x14ac:dyDescent="0.25">
      <c r="A785" s="77"/>
      <c r="B785" s="77"/>
      <c r="C785" s="77"/>
      <c r="D785" s="77"/>
      <c r="E785" s="77"/>
      <c r="F785" s="77"/>
      <c r="G785" s="77"/>
      <c r="H785" s="176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 spans="1:28" ht="14.4" customHeight="1" x14ac:dyDescent="0.25">
      <c r="A786" s="77"/>
      <c r="B786" s="77"/>
      <c r="C786" s="77"/>
      <c r="D786" s="77"/>
      <c r="E786" s="77"/>
      <c r="F786" s="77"/>
      <c r="G786" s="77"/>
      <c r="H786" s="176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 spans="1:28" ht="14.4" customHeight="1" x14ac:dyDescent="0.25">
      <c r="A787" s="77"/>
      <c r="B787" s="77"/>
      <c r="C787" s="77"/>
      <c r="D787" s="77"/>
      <c r="E787" s="77"/>
      <c r="F787" s="77"/>
      <c r="G787" s="77"/>
      <c r="H787" s="176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 spans="1:28" ht="14.4" customHeight="1" x14ac:dyDescent="0.25">
      <c r="A788" s="77"/>
      <c r="B788" s="77"/>
      <c r="C788" s="77"/>
      <c r="D788" s="77"/>
      <c r="E788" s="77"/>
      <c r="F788" s="77"/>
      <c r="G788" s="77"/>
      <c r="H788" s="176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 spans="1:28" ht="14.4" customHeight="1" x14ac:dyDescent="0.25">
      <c r="A789" s="77"/>
      <c r="B789" s="77"/>
      <c r="C789" s="77"/>
      <c r="D789" s="77"/>
      <c r="E789" s="77"/>
      <c r="F789" s="77"/>
      <c r="G789" s="77"/>
      <c r="H789" s="176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 spans="1:28" ht="14.4" customHeight="1" x14ac:dyDescent="0.25">
      <c r="A790" s="77"/>
      <c r="B790" s="77"/>
      <c r="C790" s="77"/>
      <c r="D790" s="77"/>
      <c r="E790" s="77"/>
      <c r="F790" s="77"/>
      <c r="G790" s="77"/>
      <c r="H790" s="176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 spans="1:28" ht="14.4" customHeight="1" x14ac:dyDescent="0.25">
      <c r="A791" s="77"/>
      <c r="B791" s="77"/>
      <c r="C791" s="77"/>
      <c r="D791" s="77"/>
      <c r="E791" s="77"/>
      <c r="F791" s="77"/>
      <c r="G791" s="77"/>
      <c r="H791" s="176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 spans="1:28" ht="14.4" customHeight="1" x14ac:dyDescent="0.25">
      <c r="A792" s="77"/>
      <c r="B792" s="77"/>
      <c r="C792" s="77"/>
      <c r="D792" s="77"/>
      <c r="E792" s="77"/>
      <c r="F792" s="77"/>
      <c r="G792" s="77"/>
      <c r="H792" s="176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 spans="1:28" ht="14.4" customHeight="1" x14ac:dyDescent="0.25">
      <c r="A793" s="77"/>
      <c r="B793" s="77"/>
      <c r="C793" s="77"/>
      <c r="D793" s="77"/>
      <c r="E793" s="77"/>
      <c r="F793" s="77"/>
      <c r="G793" s="77"/>
      <c r="H793" s="176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 spans="1:28" ht="14.4" customHeight="1" x14ac:dyDescent="0.25">
      <c r="A794" s="77"/>
      <c r="B794" s="77"/>
      <c r="C794" s="77"/>
      <c r="D794" s="77"/>
      <c r="E794" s="77"/>
      <c r="F794" s="77"/>
      <c r="G794" s="77"/>
      <c r="H794" s="176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 spans="1:28" ht="14.4" customHeight="1" x14ac:dyDescent="0.25">
      <c r="A795" s="77"/>
      <c r="B795" s="77"/>
      <c r="C795" s="77"/>
      <c r="D795" s="77"/>
      <c r="E795" s="77"/>
      <c r="F795" s="77"/>
      <c r="G795" s="77"/>
      <c r="H795" s="176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 spans="1:28" ht="14.4" customHeight="1" x14ac:dyDescent="0.25">
      <c r="A796" s="77"/>
      <c r="B796" s="77"/>
      <c r="C796" s="77"/>
      <c r="D796" s="77"/>
      <c r="E796" s="77"/>
      <c r="F796" s="77"/>
      <c r="G796" s="77"/>
      <c r="H796" s="176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 spans="1:28" ht="14.4" customHeight="1" x14ac:dyDescent="0.25">
      <c r="A797" s="77"/>
      <c r="B797" s="77"/>
      <c r="C797" s="77"/>
      <c r="D797" s="77"/>
      <c r="E797" s="77"/>
      <c r="F797" s="77"/>
      <c r="G797" s="77"/>
      <c r="H797" s="176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 spans="1:28" ht="14.4" customHeight="1" x14ac:dyDescent="0.25">
      <c r="A798" s="77"/>
      <c r="B798" s="77"/>
      <c r="C798" s="77"/>
      <c r="D798" s="77"/>
      <c r="E798" s="77"/>
      <c r="F798" s="77"/>
      <c r="G798" s="77"/>
      <c r="H798" s="176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</sheetData>
  <mergeCells count="43">
    <mergeCell ref="C28:H28"/>
    <mergeCell ref="C29:H29"/>
    <mergeCell ref="O27:S27"/>
    <mergeCell ref="O28:S28"/>
    <mergeCell ref="O29:S29"/>
    <mergeCell ref="C27:H27"/>
    <mergeCell ref="I27:L27"/>
    <mergeCell ref="I28:L28"/>
    <mergeCell ref="I29:L29"/>
    <mergeCell ref="C25:H25"/>
    <mergeCell ref="I25:L25"/>
    <mergeCell ref="O25:S25"/>
    <mergeCell ref="I26:L26"/>
    <mergeCell ref="O26:S26"/>
    <mergeCell ref="C26:H26"/>
    <mergeCell ref="B24:S24"/>
    <mergeCell ref="E10:F10"/>
    <mergeCell ref="H10:I10"/>
    <mergeCell ref="O10:S10"/>
    <mergeCell ref="E11:F11"/>
    <mergeCell ref="H11:I11"/>
    <mergeCell ref="E12:F12"/>
    <mergeCell ref="H12:I12"/>
    <mergeCell ref="B14:C14"/>
    <mergeCell ref="E14:F14"/>
    <mergeCell ref="H14:I14"/>
    <mergeCell ref="H17:I17"/>
    <mergeCell ref="B23:S23"/>
    <mergeCell ref="O6:S6"/>
    <mergeCell ref="E7:F7"/>
    <mergeCell ref="H7:I7"/>
    <mergeCell ref="O8:S8"/>
    <mergeCell ref="B9:C9"/>
    <mergeCell ref="E9:F9"/>
    <mergeCell ref="H9:I9"/>
    <mergeCell ref="O9:S9"/>
    <mergeCell ref="A1:S1"/>
    <mergeCell ref="B3:C3"/>
    <mergeCell ref="D3:K3"/>
    <mergeCell ref="B5:C5"/>
    <mergeCell ref="E5:F5"/>
    <mergeCell ref="H5:I5"/>
    <mergeCell ref="O5:S5"/>
  </mergeCells>
  <conditionalFormatting sqref="M26:M29">
    <cfRule type="cellIs" dxfId="14" priority="1" operator="equal">
      <formula>"FAILED"</formula>
    </cfRule>
    <cfRule type="cellIs" dxfId="13" priority="2" operator="equal">
      <formula>"PASSED WITH CONDITION"</formula>
    </cfRule>
    <cfRule type="cellIs" dxfId="12" priority="3" operator="equal">
      <formula>"PASSED"</formula>
    </cfRule>
  </conditionalFormatting>
  <dataValidations count="1">
    <dataValidation type="list" allowBlank="1" showErrorMessage="1" sqref="M26:M29" xr:uid="{D39C8C96-19C1-4DBD-88C9-31B9CBAA38F8}">
      <formula1>"PASSED,PASSED WITH CONDITION,FAILED,N/A"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578F-4BBD-49C1-BB3B-697AD1945E52}">
  <sheetPr codeName="Sheet11">
    <tabColor theme="4" tint="0.59999389629810485"/>
  </sheetPr>
  <dimension ref="A1:AH843"/>
  <sheetViews>
    <sheetView topLeftCell="S1" zoomScale="85" zoomScaleNormal="85" workbookViewId="0">
      <selection activeCell="Y1" sqref="Y1:AA1048576"/>
    </sheetView>
  </sheetViews>
  <sheetFormatPr defaultColWidth="14.44140625" defaultRowHeight="14.4" customHeight="1" x14ac:dyDescent="0.25"/>
  <cols>
    <col min="1" max="1" width="1.44140625" style="78" customWidth="1"/>
    <col min="2" max="2" width="4.33203125" style="78" customWidth="1"/>
    <col min="3" max="3" width="17.6640625" style="78" customWidth="1"/>
    <col min="4" max="4" width="5.33203125" style="78" customWidth="1"/>
    <col min="5" max="5" width="7.44140625" style="78" customWidth="1"/>
    <col min="6" max="6" width="9.5546875" style="78" customWidth="1"/>
    <col min="7" max="7" width="5" style="78" customWidth="1"/>
    <col min="8" max="8" width="4" style="78" customWidth="1"/>
    <col min="9" max="9" width="12.6640625" style="78" customWidth="1"/>
    <col min="10" max="10" width="3.109375" style="78" customWidth="1"/>
    <col min="11" max="11" width="11.88671875" style="78" customWidth="1"/>
    <col min="12" max="12" width="4.88671875" style="78" customWidth="1"/>
    <col min="13" max="13" width="17.33203125" style="78" customWidth="1"/>
    <col min="14" max="14" width="11.88671875" style="78" customWidth="1"/>
    <col min="15" max="15" width="8.6640625" style="78" customWidth="1"/>
    <col min="16" max="16" width="40" style="78" customWidth="1"/>
    <col min="17" max="17" width="25.33203125" style="78" customWidth="1"/>
    <col min="18" max="19" width="64.44140625" style="78" customWidth="1"/>
    <col min="20" max="20" width="12.44140625" style="78" customWidth="1"/>
    <col min="21" max="21" width="6.44140625" style="78" customWidth="1"/>
    <col min="22" max="22" width="7.33203125" style="78" customWidth="1"/>
    <col min="23" max="23" width="6.44140625" style="78" customWidth="1"/>
    <col min="24" max="24" width="8.6640625" style="78" customWidth="1"/>
    <col min="25" max="25" width="120" style="78" hidden="1" customWidth="1"/>
    <col min="26" max="27" width="17.6640625" style="78" hidden="1" customWidth="1"/>
    <col min="28" max="33" width="8.6640625" style="78" customWidth="1"/>
    <col min="34" max="16384" width="14.44140625" style="78"/>
  </cols>
  <sheetData>
    <row r="1" spans="1:34" ht="60" customHeight="1" x14ac:dyDescent="0.25">
      <c r="A1" s="217" t="s">
        <v>209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77"/>
      <c r="Z1" s="77"/>
      <c r="AA1" s="77"/>
      <c r="AB1" s="77"/>
      <c r="AC1" s="77"/>
      <c r="AD1" s="77"/>
      <c r="AE1" s="77"/>
      <c r="AF1" s="77"/>
      <c r="AG1" s="77"/>
    </row>
    <row r="2" spans="1:34" ht="14.4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3"/>
      <c r="V2" s="83"/>
      <c r="W2" s="83"/>
      <c r="X2" s="81"/>
      <c r="Y2" s="77"/>
      <c r="Z2" s="77"/>
      <c r="AA2" s="77"/>
      <c r="AB2" s="77"/>
      <c r="AC2" s="77"/>
      <c r="AD2" s="77"/>
      <c r="AE2" s="77"/>
      <c r="AF2" s="77"/>
      <c r="AG2" s="77"/>
    </row>
    <row r="3" spans="1:34" ht="14.4" customHeight="1" x14ac:dyDescent="0.25">
      <c r="A3" s="77"/>
      <c r="B3" s="218" t="s">
        <v>3</v>
      </c>
      <c r="C3" s="218"/>
      <c r="D3" s="411" t="s">
        <v>418</v>
      </c>
      <c r="E3" s="276"/>
      <c r="F3" s="276"/>
      <c r="G3" s="276"/>
      <c r="H3" s="276"/>
      <c r="I3" s="276"/>
      <c r="J3" s="157"/>
      <c r="K3" s="158"/>
      <c r="L3" s="157"/>
      <c r="M3" s="157"/>
      <c r="O3" s="83"/>
      <c r="P3" s="77"/>
      <c r="Q3" s="91"/>
      <c r="R3" s="91"/>
      <c r="S3" s="91"/>
      <c r="T3" s="86" t="s">
        <v>0</v>
      </c>
      <c r="U3" s="89" t="b">
        <v>0</v>
      </c>
      <c r="V3" s="90" t="s">
        <v>1</v>
      </c>
      <c r="W3" s="89" t="b">
        <v>0</v>
      </c>
      <c r="X3" s="90" t="s">
        <v>2</v>
      </c>
      <c r="Y3" s="77"/>
      <c r="Z3" s="77"/>
      <c r="AA3" s="77"/>
      <c r="AB3" s="77"/>
      <c r="AC3" s="77"/>
      <c r="AD3" s="77"/>
      <c r="AE3" s="77"/>
      <c r="AF3" s="77"/>
      <c r="AG3" s="77"/>
    </row>
    <row r="4" spans="1:34" ht="14.4" customHeight="1" x14ac:dyDescent="0.25">
      <c r="A4" s="77"/>
      <c r="B4" s="85"/>
      <c r="C4" s="85"/>
      <c r="D4" s="85"/>
      <c r="E4" s="85"/>
      <c r="F4" s="85"/>
      <c r="G4" s="85"/>
      <c r="H4" s="85"/>
      <c r="I4" s="87"/>
      <c r="J4" s="87"/>
      <c r="K4" s="77"/>
      <c r="L4" s="77"/>
      <c r="M4" s="77"/>
      <c r="N4" s="77"/>
      <c r="O4" s="77"/>
      <c r="P4" s="77"/>
      <c r="Q4" s="91"/>
      <c r="R4" s="91"/>
      <c r="S4" s="91"/>
      <c r="T4" s="91"/>
      <c r="Y4" s="77"/>
      <c r="Z4" s="77"/>
      <c r="AA4" s="77"/>
      <c r="AB4" s="77"/>
      <c r="AC4" s="77"/>
      <c r="AD4" s="77"/>
      <c r="AE4" s="77"/>
      <c r="AF4" s="77"/>
      <c r="AG4" s="77"/>
    </row>
    <row r="5" spans="1:34" ht="14.4" customHeight="1" x14ac:dyDescent="0.25">
      <c r="A5" s="77"/>
      <c r="B5" s="221" t="s">
        <v>6</v>
      </c>
      <c r="C5" s="221"/>
      <c r="D5" s="89" t="b">
        <v>1</v>
      </c>
      <c r="E5" s="278" t="s">
        <v>7</v>
      </c>
      <c r="F5" s="278"/>
      <c r="G5" s="93" t="b">
        <v>1</v>
      </c>
      <c r="H5" s="222" t="s">
        <v>8</v>
      </c>
      <c r="I5" s="222"/>
      <c r="K5" s="77"/>
      <c r="L5" s="77"/>
      <c r="M5" s="77"/>
      <c r="N5" s="77"/>
      <c r="O5" s="77"/>
      <c r="P5" s="77"/>
      <c r="Q5" s="91"/>
      <c r="R5" s="91"/>
      <c r="S5" s="86" t="s">
        <v>4</v>
      </c>
      <c r="T5" s="279"/>
      <c r="U5" s="279"/>
      <c r="V5" s="279"/>
      <c r="W5" s="279"/>
      <c r="X5" s="279"/>
      <c r="Y5" s="77"/>
      <c r="Z5" s="77"/>
      <c r="AA5" s="77"/>
      <c r="AB5" s="77"/>
      <c r="AC5" s="77"/>
      <c r="AD5" s="77"/>
      <c r="AE5" s="77"/>
      <c r="AF5" s="77"/>
      <c r="AG5" s="77"/>
    </row>
    <row r="6" spans="1:34" ht="14.4" customHeight="1" x14ac:dyDescent="0.25">
      <c r="A6" s="77"/>
      <c r="B6" s="85"/>
      <c r="C6" s="85"/>
      <c r="D6" s="77"/>
      <c r="E6" s="77"/>
      <c r="F6" s="77"/>
      <c r="G6" s="77"/>
      <c r="H6" s="92"/>
      <c r="I6" s="92"/>
      <c r="J6" s="95"/>
      <c r="K6" s="77"/>
      <c r="L6" s="77"/>
      <c r="M6" s="77"/>
      <c r="N6" s="77"/>
      <c r="O6" s="77"/>
      <c r="P6" s="77"/>
      <c r="Q6" s="91"/>
      <c r="R6" s="91"/>
      <c r="S6" s="86" t="s">
        <v>5</v>
      </c>
      <c r="T6" s="279"/>
      <c r="U6" s="279"/>
      <c r="V6" s="279"/>
      <c r="W6" s="279"/>
      <c r="X6" s="279"/>
      <c r="Y6" s="77"/>
      <c r="Z6" s="77"/>
      <c r="AA6" s="77"/>
      <c r="AB6" s="77"/>
      <c r="AC6" s="77"/>
      <c r="AD6" s="77"/>
      <c r="AE6" s="77"/>
      <c r="AF6" s="77"/>
      <c r="AG6" s="77"/>
    </row>
    <row r="7" spans="1:34" ht="14.4" customHeight="1" x14ac:dyDescent="0.25">
      <c r="A7" s="77"/>
      <c r="B7" s="85" t="s">
        <v>88</v>
      </c>
      <c r="C7" s="85"/>
      <c r="D7" s="89" t="b">
        <v>1</v>
      </c>
      <c r="E7" s="278" t="s">
        <v>89</v>
      </c>
      <c r="F7" s="278"/>
      <c r="G7" s="93" t="b">
        <v>0</v>
      </c>
      <c r="H7" s="278" t="s">
        <v>90</v>
      </c>
      <c r="I7" s="278"/>
      <c r="L7" s="77"/>
      <c r="M7" s="77"/>
      <c r="N7" s="77"/>
      <c r="O7" s="77"/>
      <c r="P7" s="77"/>
      <c r="Q7" s="91"/>
      <c r="R7" s="91"/>
      <c r="S7" s="77"/>
      <c r="T7" s="91"/>
      <c r="U7" s="111"/>
      <c r="V7" s="111"/>
      <c r="W7" s="111"/>
      <c r="X7" s="111"/>
      <c r="Y7" s="77"/>
      <c r="Z7" s="77"/>
      <c r="AA7" s="77"/>
      <c r="AB7" s="77"/>
      <c r="AC7" s="77"/>
      <c r="AD7" s="77"/>
      <c r="AE7" s="77"/>
      <c r="AF7" s="77"/>
      <c r="AG7" s="77"/>
    </row>
    <row r="8" spans="1:34" ht="14.4" customHeight="1" x14ac:dyDescent="0.25">
      <c r="A8" s="77"/>
      <c r="B8" s="85"/>
      <c r="C8" s="85"/>
      <c r="D8" s="77"/>
      <c r="E8" s="77"/>
      <c r="F8" s="77"/>
      <c r="G8" s="77"/>
      <c r="H8" s="92"/>
      <c r="I8" s="92"/>
      <c r="J8" s="95"/>
      <c r="K8" s="77"/>
      <c r="L8" s="77"/>
      <c r="M8" s="77"/>
      <c r="N8" s="77"/>
      <c r="O8" s="77"/>
      <c r="P8" s="77"/>
      <c r="Q8" s="91"/>
      <c r="R8" s="91"/>
      <c r="S8" s="86" t="s">
        <v>9</v>
      </c>
      <c r="T8" s="279"/>
      <c r="U8" s="279"/>
      <c r="V8" s="279"/>
      <c r="W8" s="279"/>
      <c r="X8" s="279"/>
      <c r="Y8" s="77"/>
      <c r="Z8" s="77"/>
      <c r="AA8" s="77"/>
      <c r="AB8" s="77"/>
      <c r="AC8" s="77"/>
      <c r="AD8" s="77"/>
      <c r="AE8" s="77"/>
      <c r="AF8" s="77"/>
      <c r="AG8" s="77"/>
    </row>
    <row r="9" spans="1:34" ht="14.4" customHeight="1" x14ac:dyDescent="0.25">
      <c r="A9" s="77"/>
      <c r="B9" s="251" t="s">
        <v>210</v>
      </c>
      <c r="C9" s="251"/>
      <c r="D9" s="89" t="b">
        <v>1</v>
      </c>
      <c r="E9" s="278" t="s">
        <v>21</v>
      </c>
      <c r="F9" s="278"/>
      <c r="G9" s="77"/>
      <c r="H9" s="222"/>
      <c r="I9" s="222"/>
      <c r="J9" s="95"/>
      <c r="K9" s="77"/>
      <c r="L9" s="77"/>
      <c r="M9" s="77"/>
      <c r="N9" s="77"/>
      <c r="O9" s="77"/>
      <c r="P9" s="77"/>
      <c r="Q9" s="91"/>
      <c r="R9" s="91"/>
      <c r="S9" s="96" t="str">
        <f>D3</f>
        <v>ATP Group</v>
      </c>
      <c r="T9" s="279"/>
      <c r="U9" s="279"/>
      <c r="V9" s="279"/>
      <c r="W9" s="279"/>
      <c r="X9" s="279"/>
      <c r="Y9" s="77"/>
      <c r="Z9" s="77"/>
      <c r="AA9" s="77"/>
      <c r="AB9" s="77"/>
      <c r="AC9" s="77"/>
      <c r="AD9" s="77"/>
      <c r="AE9" s="77"/>
      <c r="AF9" s="77"/>
      <c r="AG9" s="77"/>
    </row>
    <row r="10" spans="1:34" ht="14.4" customHeight="1" x14ac:dyDescent="0.25">
      <c r="A10" s="77"/>
      <c r="B10" s="90"/>
      <c r="C10" s="90"/>
      <c r="D10" s="77"/>
      <c r="E10" s="93" t="b">
        <v>1</v>
      </c>
      <c r="F10" s="91" t="s">
        <v>210</v>
      </c>
      <c r="G10" s="89" t="b">
        <v>0</v>
      </c>
      <c r="H10" s="222" t="s">
        <v>211</v>
      </c>
      <c r="I10" s="222"/>
      <c r="J10" s="93" t="b">
        <v>0</v>
      </c>
      <c r="K10" s="77" t="s">
        <v>212</v>
      </c>
      <c r="L10" s="89" t="b">
        <v>0</v>
      </c>
      <c r="M10" s="77" t="s">
        <v>213</v>
      </c>
      <c r="N10" s="77"/>
      <c r="O10" s="77"/>
      <c r="P10" s="77"/>
      <c r="Q10" s="77"/>
      <c r="R10" s="91"/>
      <c r="S10" s="91"/>
      <c r="T10" s="96" t="s">
        <v>12</v>
      </c>
      <c r="U10" s="278"/>
      <c r="V10" s="278"/>
      <c r="W10" s="278"/>
      <c r="X10" s="278"/>
      <c r="Y10" s="278"/>
      <c r="Z10" s="77"/>
      <c r="AA10" s="77"/>
      <c r="AB10" s="77"/>
      <c r="AC10" s="77"/>
      <c r="AD10" s="77"/>
      <c r="AE10" s="77"/>
      <c r="AF10" s="77"/>
      <c r="AG10" s="77"/>
      <c r="AH10" s="77"/>
    </row>
    <row r="11" spans="1:34" ht="14.4" customHeight="1" x14ac:dyDescent="0.25">
      <c r="A11" s="77"/>
      <c r="B11" s="90"/>
      <c r="C11" s="90"/>
      <c r="D11" s="77"/>
      <c r="E11" s="91"/>
      <c r="F11" s="91"/>
      <c r="G11" s="77"/>
      <c r="H11" s="92"/>
      <c r="I11" s="92"/>
      <c r="J11" s="95"/>
      <c r="K11" s="77"/>
      <c r="L11" s="77"/>
      <c r="M11" s="77"/>
      <c r="N11" s="77"/>
      <c r="O11" s="77"/>
      <c r="P11" s="77"/>
      <c r="Q11" s="91"/>
      <c r="R11" s="91"/>
      <c r="S11" s="96"/>
      <c r="T11" s="95"/>
      <c r="U11" s="95"/>
      <c r="V11" s="95"/>
      <c r="W11" s="95"/>
      <c r="X11" s="95"/>
      <c r="Y11" s="77"/>
      <c r="Z11" s="77"/>
      <c r="AA11" s="77"/>
      <c r="AB11" s="77"/>
      <c r="AC11" s="77"/>
      <c r="AD11" s="77"/>
      <c r="AE11" s="77"/>
      <c r="AF11" s="77"/>
      <c r="AG11" s="77"/>
    </row>
    <row r="12" spans="1:34" ht="14.4" customHeight="1" x14ac:dyDescent="0.25">
      <c r="A12" s="77"/>
      <c r="B12" s="90"/>
      <c r="C12" s="90"/>
      <c r="D12" s="89" t="b">
        <v>1</v>
      </c>
      <c r="E12" s="278" t="s">
        <v>214</v>
      </c>
      <c r="F12" s="278"/>
      <c r="G12" s="77"/>
      <c r="H12" s="222"/>
      <c r="I12" s="222"/>
      <c r="J12" s="95"/>
      <c r="K12" s="77"/>
      <c r="L12" s="77"/>
      <c r="M12" s="77"/>
      <c r="N12" s="77"/>
      <c r="O12" s="77"/>
      <c r="P12" s="77"/>
      <c r="Q12" s="91"/>
      <c r="R12" s="91"/>
      <c r="Y12" s="77"/>
      <c r="Z12" s="77"/>
      <c r="AA12" s="77"/>
      <c r="AB12" s="77"/>
      <c r="AC12" s="77"/>
      <c r="AD12" s="77"/>
      <c r="AE12" s="77"/>
      <c r="AF12" s="77"/>
      <c r="AG12" s="77"/>
    </row>
    <row r="13" spans="1:34" ht="14.4" customHeight="1" x14ac:dyDescent="0.25">
      <c r="A13" s="77"/>
      <c r="B13" s="90"/>
      <c r="C13" s="90"/>
      <c r="D13" s="77"/>
      <c r="E13" s="93" t="b">
        <v>1</v>
      </c>
      <c r="F13" s="91" t="s">
        <v>210</v>
      </c>
      <c r="G13" s="89" t="b">
        <v>0</v>
      </c>
      <c r="H13" s="222" t="s">
        <v>215</v>
      </c>
      <c r="I13" s="222"/>
      <c r="J13" s="95"/>
      <c r="K13" s="77"/>
      <c r="L13" s="77"/>
      <c r="M13" s="77"/>
      <c r="N13" s="77"/>
      <c r="O13" s="77"/>
      <c r="P13" s="77"/>
      <c r="Q13" s="91"/>
      <c r="R13" s="91"/>
      <c r="Y13" s="77"/>
      <c r="Z13" s="77"/>
      <c r="AA13" s="77"/>
      <c r="AB13" s="77"/>
      <c r="AC13" s="77"/>
      <c r="AD13" s="77"/>
      <c r="AE13" s="77"/>
      <c r="AF13" s="77"/>
      <c r="AG13" s="77"/>
    </row>
    <row r="14" spans="1:34" ht="14.4" customHeight="1" x14ac:dyDescent="0.25">
      <c r="A14" s="77"/>
      <c r="B14" s="90"/>
      <c r="C14" s="90"/>
      <c r="D14" s="77"/>
      <c r="E14" s="91"/>
      <c r="F14" s="91"/>
      <c r="G14" s="77"/>
      <c r="H14" s="92"/>
      <c r="I14" s="92"/>
      <c r="J14" s="95"/>
      <c r="K14" s="77"/>
      <c r="L14" s="77"/>
      <c r="M14" s="77"/>
      <c r="N14" s="77"/>
      <c r="O14" s="77"/>
      <c r="P14" s="77"/>
      <c r="Q14" s="91"/>
      <c r="R14" s="91"/>
      <c r="Y14" s="77"/>
      <c r="Z14" s="77"/>
      <c r="AA14" s="77"/>
      <c r="AB14" s="77"/>
      <c r="AC14" s="77"/>
      <c r="AD14" s="77"/>
      <c r="AE14" s="77"/>
      <c r="AF14" s="77"/>
      <c r="AG14" s="77"/>
    </row>
    <row r="15" spans="1:34" ht="14.4" customHeight="1" x14ac:dyDescent="0.25">
      <c r="A15" s="77"/>
      <c r="B15" s="90"/>
      <c r="C15" s="90"/>
      <c r="D15" s="89" t="b">
        <v>1</v>
      </c>
      <c r="E15" s="91" t="s">
        <v>216</v>
      </c>
      <c r="F15" s="91"/>
      <c r="G15" s="77"/>
      <c r="H15" s="92"/>
      <c r="I15" s="92"/>
      <c r="J15" s="95"/>
      <c r="K15" s="77"/>
      <c r="L15" s="77"/>
      <c r="M15" s="77"/>
      <c r="N15" s="77"/>
      <c r="O15" s="77"/>
      <c r="P15" s="77"/>
      <c r="Q15" s="91"/>
      <c r="R15" s="91"/>
      <c r="S15" s="96"/>
      <c r="Y15" s="77"/>
      <c r="Z15" s="77"/>
      <c r="AA15" s="77"/>
      <c r="AB15" s="77"/>
      <c r="AC15" s="77"/>
      <c r="AD15" s="77"/>
      <c r="AE15" s="77"/>
      <c r="AF15" s="77"/>
      <c r="AG15" s="77"/>
    </row>
    <row r="16" spans="1:34" ht="14.4" customHeight="1" x14ac:dyDescent="0.25">
      <c r="A16" s="77"/>
      <c r="B16" s="90"/>
      <c r="C16" s="90"/>
      <c r="D16" s="77"/>
      <c r="E16" s="93" t="b">
        <v>1</v>
      </c>
      <c r="F16" s="91" t="s">
        <v>210</v>
      </c>
      <c r="G16" s="89" t="b">
        <v>0</v>
      </c>
      <c r="H16" s="222" t="s">
        <v>217</v>
      </c>
      <c r="I16" s="222"/>
      <c r="J16" s="95"/>
      <c r="K16" s="77"/>
      <c r="L16" s="77"/>
      <c r="M16" s="77"/>
      <c r="N16" s="77"/>
      <c r="O16" s="77"/>
      <c r="P16" s="77"/>
      <c r="Q16" s="91"/>
      <c r="R16" s="91"/>
      <c r="S16" s="96"/>
      <c r="Y16" s="77"/>
      <c r="Z16" s="77"/>
      <c r="AA16" s="77"/>
      <c r="AB16" s="77"/>
      <c r="AC16" s="77"/>
      <c r="AD16" s="77"/>
      <c r="AE16" s="77"/>
      <c r="AF16" s="77"/>
      <c r="AG16" s="77"/>
    </row>
    <row r="17" spans="1:33" ht="14.4" customHeight="1" x14ac:dyDescent="0.25">
      <c r="A17" s="77"/>
      <c r="B17" s="90"/>
      <c r="C17" s="90"/>
      <c r="D17" s="77"/>
      <c r="E17" s="91"/>
      <c r="F17" s="91"/>
      <c r="G17" s="77"/>
      <c r="H17" s="92"/>
      <c r="I17" s="92"/>
      <c r="J17" s="95"/>
      <c r="K17" s="77"/>
      <c r="L17" s="77"/>
      <c r="M17" s="77"/>
      <c r="N17" s="77"/>
      <c r="O17" s="77"/>
      <c r="P17" s="77"/>
      <c r="Q17" s="91"/>
      <c r="R17" s="91"/>
      <c r="S17" s="96"/>
      <c r="Y17" s="77"/>
      <c r="Z17" s="77"/>
      <c r="AA17" s="77"/>
      <c r="AB17" s="77"/>
      <c r="AC17" s="77"/>
      <c r="AD17" s="77"/>
      <c r="AE17" s="77"/>
      <c r="AF17" s="77"/>
      <c r="AG17" s="77"/>
    </row>
    <row r="18" spans="1:33" ht="14.4" customHeight="1" x14ac:dyDescent="0.25">
      <c r="A18" s="77"/>
      <c r="B18" s="90"/>
      <c r="C18" s="90"/>
      <c r="D18" s="89" t="b">
        <v>1</v>
      </c>
      <c r="E18" s="278" t="s">
        <v>218</v>
      </c>
      <c r="F18" s="278"/>
      <c r="G18" s="77"/>
      <c r="H18" s="92"/>
      <c r="I18" s="92"/>
      <c r="J18" s="95"/>
      <c r="K18" s="77"/>
      <c r="L18" s="77"/>
      <c r="M18" s="77"/>
      <c r="N18" s="77"/>
      <c r="O18" s="77"/>
      <c r="P18" s="77"/>
      <c r="Q18" s="91"/>
      <c r="R18" s="91"/>
      <c r="S18" s="96"/>
      <c r="Y18" s="77"/>
      <c r="Z18" s="77"/>
      <c r="AA18" s="77"/>
      <c r="AB18" s="77"/>
      <c r="AC18" s="77"/>
      <c r="AD18" s="77"/>
      <c r="AE18" s="77"/>
      <c r="AF18" s="77"/>
      <c r="AG18" s="77"/>
    </row>
    <row r="19" spans="1:33" ht="14.4" customHeight="1" x14ac:dyDescent="0.25">
      <c r="A19" s="77"/>
      <c r="B19" s="90"/>
      <c r="C19" s="90"/>
      <c r="D19" s="89" t="b">
        <v>0</v>
      </c>
      <c r="E19" s="278" t="s">
        <v>219</v>
      </c>
      <c r="F19" s="278"/>
      <c r="G19" s="77"/>
      <c r="H19" s="92"/>
      <c r="I19" s="92"/>
      <c r="J19" s="95"/>
      <c r="K19" s="77"/>
      <c r="L19" s="77"/>
      <c r="M19" s="77"/>
      <c r="N19" s="77"/>
      <c r="O19" s="77"/>
      <c r="P19" s="77"/>
      <c r="Q19" s="91"/>
      <c r="R19" s="91"/>
      <c r="S19" s="96"/>
      <c r="Y19" s="77"/>
      <c r="Z19" s="77"/>
      <c r="AA19" s="77"/>
      <c r="AB19" s="77"/>
      <c r="AC19" s="77"/>
      <c r="AD19" s="77"/>
      <c r="AE19" s="77"/>
      <c r="AF19" s="77"/>
      <c r="AG19" s="77"/>
    </row>
    <row r="20" spans="1:33" ht="14.4" customHeight="1" x14ac:dyDescent="0.25">
      <c r="A20" s="77"/>
      <c r="B20" s="90"/>
      <c r="C20" s="90"/>
      <c r="D20" s="89" t="b">
        <v>0</v>
      </c>
      <c r="E20" s="91" t="s">
        <v>220</v>
      </c>
      <c r="F20" s="91"/>
      <c r="G20" s="77"/>
      <c r="H20" s="92"/>
      <c r="I20" s="92"/>
      <c r="J20" s="95"/>
      <c r="K20" s="77"/>
      <c r="L20" s="77"/>
      <c r="M20" s="77"/>
      <c r="N20" s="77"/>
      <c r="O20" s="77"/>
      <c r="P20" s="77"/>
      <c r="Q20" s="91"/>
      <c r="R20" s="91"/>
      <c r="S20" s="96"/>
      <c r="Y20" s="77"/>
      <c r="Z20" s="77"/>
      <c r="AA20" s="77"/>
      <c r="AB20" s="77"/>
      <c r="AC20" s="77"/>
      <c r="AD20" s="77"/>
      <c r="AE20" s="77"/>
      <c r="AF20" s="77"/>
      <c r="AG20" s="77"/>
    </row>
    <row r="21" spans="1:33" ht="14.4" customHeight="1" x14ac:dyDescent="0.25">
      <c r="A21" s="77"/>
      <c r="B21" s="85"/>
      <c r="C21" s="85"/>
      <c r="D21" s="77"/>
      <c r="E21" s="77"/>
      <c r="F21" s="77"/>
      <c r="G21" s="77"/>
      <c r="H21" s="92"/>
      <c r="I21" s="92"/>
      <c r="J21" s="95"/>
      <c r="K21" s="77"/>
      <c r="L21" s="77"/>
      <c r="M21" s="77"/>
      <c r="N21" s="77"/>
      <c r="O21" s="77"/>
      <c r="P21" s="77"/>
      <c r="Q21" s="91"/>
      <c r="R21" s="91"/>
      <c r="S21" s="91"/>
      <c r="T21" s="91"/>
      <c r="U21" s="111"/>
      <c r="V21" s="111"/>
      <c r="W21" s="111"/>
      <c r="X21" s="111"/>
      <c r="Y21" s="77"/>
      <c r="Z21" s="77"/>
      <c r="AA21" s="77"/>
      <c r="AB21" s="77"/>
      <c r="AC21" s="77"/>
      <c r="AD21" s="77"/>
      <c r="AE21" s="77"/>
      <c r="AF21" s="77"/>
      <c r="AG21" s="77"/>
    </row>
    <row r="22" spans="1:33" ht="14.4" customHeight="1" x14ac:dyDescent="0.25">
      <c r="A22" s="77"/>
      <c r="B22" s="251" t="s">
        <v>10</v>
      </c>
      <c r="C22" s="251"/>
      <c r="D22" s="93" t="b">
        <v>1</v>
      </c>
      <c r="E22" s="85" t="s">
        <v>22</v>
      </c>
      <c r="F22" s="278" t="s">
        <v>221</v>
      </c>
      <c r="G22" s="278"/>
      <c r="H22" s="85"/>
      <c r="I22" s="85"/>
      <c r="J22" s="77"/>
      <c r="K22" s="77"/>
      <c r="L22" s="77"/>
      <c r="M22" s="77"/>
      <c r="N22" s="77"/>
      <c r="O22" s="77"/>
      <c r="P22" s="77"/>
      <c r="Q22" s="91"/>
      <c r="R22" s="91"/>
      <c r="S22" s="91"/>
      <c r="T22" s="91"/>
      <c r="U22" s="80"/>
      <c r="V22" s="80"/>
      <c r="W22" s="80"/>
      <c r="X22" s="80"/>
      <c r="Y22" s="77"/>
      <c r="Z22" s="77"/>
      <c r="AA22" s="77"/>
      <c r="AB22" s="77"/>
      <c r="AC22" s="77"/>
      <c r="AD22" s="77"/>
      <c r="AE22" s="77"/>
      <c r="AF22" s="77"/>
      <c r="AG22" s="77"/>
    </row>
    <row r="23" spans="1:33" ht="14.4" customHeight="1" x14ac:dyDescent="0.25">
      <c r="A23" s="77"/>
      <c r="B23" s="90"/>
      <c r="C23" s="90"/>
      <c r="D23" s="93" t="b">
        <v>1</v>
      </c>
      <c r="E23" s="90" t="s">
        <v>23</v>
      </c>
      <c r="F23" s="278" t="s">
        <v>222</v>
      </c>
      <c r="G23" s="278"/>
      <c r="H23" s="90"/>
      <c r="I23" s="90"/>
      <c r="J23" s="77"/>
      <c r="K23" s="77"/>
      <c r="L23" s="77"/>
      <c r="M23" s="77"/>
      <c r="N23" s="77"/>
      <c r="O23" s="77"/>
      <c r="P23" s="77"/>
      <c r="Q23" s="91"/>
      <c r="R23" s="91"/>
      <c r="S23" s="91"/>
      <c r="T23" s="91"/>
      <c r="U23" s="80"/>
      <c r="V23" s="80"/>
      <c r="W23" s="80"/>
      <c r="X23" s="80"/>
      <c r="Y23" s="77"/>
      <c r="Z23" s="77"/>
      <c r="AA23" s="77"/>
      <c r="AB23" s="77"/>
      <c r="AC23" s="77"/>
      <c r="AD23" s="77"/>
      <c r="AE23" s="77"/>
      <c r="AF23" s="77"/>
      <c r="AG23" s="77"/>
    </row>
    <row r="24" spans="1:33" ht="14.4" customHeight="1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90"/>
      <c r="K24" s="91"/>
      <c r="L24" s="91"/>
      <c r="M24" s="91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97"/>
      <c r="Y24" s="77"/>
      <c r="Z24" s="77"/>
      <c r="AA24" s="77"/>
      <c r="AB24" s="77"/>
      <c r="AC24" s="77"/>
      <c r="AD24" s="77"/>
      <c r="AE24" s="77"/>
      <c r="AF24" s="77"/>
      <c r="AG24" s="77"/>
    </row>
    <row r="25" spans="1:33" ht="14.4" customHeight="1" x14ac:dyDescent="0.25">
      <c r="A25" s="77"/>
      <c r="B25" s="264" t="s">
        <v>25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77"/>
      <c r="Z25" s="77"/>
      <c r="AA25" s="77"/>
      <c r="AB25" s="77"/>
      <c r="AC25" s="77"/>
      <c r="AD25" s="77"/>
      <c r="AE25" s="77"/>
      <c r="AF25" s="77"/>
      <c r="AG25" s="77"/>
    </row>
    <row r="26" spans="1:33" ht="36" customHeight="1" x14ac:dyDescent="0.25">
      <c r="A26" s="77"/>
      <c r="B26" s="265" t="s">
        <v>153</v>
      </c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77"/>
      <c r="Z26" s="77"/>
      <c r="AA26" s="77"/>
      <c r="AB26" s="77"/>
      <c r="AC26" s="77"/>
      <c r="AD26" s="77"/>
      <c r="AE26" s="77"/>
      <c r="AF26" s="77"/>
      <c r="AG26" s="77"/>
    </row>
    <row r="27" spans="1:33" ht="42.6" customHeight="1" x14ac:dyDescent="0.25">
      <c r="A27" s="124"/>
      <c r="B27" s="130" t="s">
        <v>27</v>
      </c>
      <c r="C27" s="281" t="s">
        <v>10</v>
      </c>
      <c r="D27" s="282"/>
      <c r="E27" s="282"/>
      <c r="F27" s="282"/>
      <c r="G27" s="282"/>
      <c r="H27" s="283"/>
      <c r="I27" s="281" t="s">
        <v>28</v>
      </c>
      <c r="J27" s="282"/>
      <c r="K27" s="282"/>
      <c r="L27" s="282"/>
      <c r="M27" s="283"/>
      <c r="N27" s="281" t="s">
        <v>29</v>
      </c>
      <c r="O27" s="283"/>
      <c r="P27" s="140" t="s">
        <v>154</v>
      </c>
      <c r="Q27" s="138" t="s">
        <v>155</v>
      </c>
      <c r="R27" s="138" t="s">
        <v>156</v>
      </c>
      <c r="S27" s="139" t="s">
        <v>157</v>
      </c>
      <c r="T27" s="366" t="s">
        <v>158</v>
      </c>
      <c r="U27" s="367"/>
      <c r="V27" s="367"/>
      <c r="W27" s="367"/>
      <c r="X27" s="368"/>
      <c r="Y27" s="164" t="s">
        <v>99</v>
      </c>
      <c r="Z27" s="164" t="s">
        <v>100</v>
      </c>
      <c r="AA27" s="164" t="s">
        <v>101</v>
      </c>
      <c r="AB27" s="131"/>
      <c r="AC27" s="131"/>
      <c r="AD27" s="131"/>
      <c r="AE27" s="131"/>
      <c r="AF27" s="131"/>
      <c r="AG27" s="77"/>
    </row>
    <row r="28" spans="1:33" ht="409.2" customHeight="1" x14ac:dyDescent="0.25">
      <c r="A28" s="124"/>
      <c r="B28" s="135">
        <v>0</v>
      </c>
      <c r="C28" s="295" t="s">
        <v>102</v>
      </c>
      <c r="D28" s="296"/>
      <c r="E28" s="296"/>
      <c r="F28" s="296"/>
      <c r="G28" s="297"/>
      <c r="H28" s="136" t="s">
        <v>34</v>
      </c>
      <c r="I28" s="295" t="s">
        <v>223</v>
      </c>
      <c r="J28" s="296"/>
      <c r="K28" s="296"/>
      <c r="L28" s="296"/>
      <c r="M28" s="297"/>
      <c r="N28" s="319" t="s">
        <v>160</v>
      </c>
      <c r="O28" s="320"/>
      <c r="P28" s="143" t="s">
        <v>224</v>
      </c>
      <c r="Q28" s="114" t="s">
        <v>37</v>
      </c>
      <c r="R28" s="137" t="s">
        <v>225</v>
      </c>
      <c r="S28" s="137" t="s">
        <v>226</v>
      </c>
      <c r="T28" s="363"/>
      <c r="U28" s="364"/>
      <c r="V28" s="364"/>
      <c r="W28" s="364"/>
      <c r="X28" s="365"/>
      <c r="Y28" s="184"/>
      <c r="Z28" s="184"/>
      <c r="AA28" s="184"/>
      <c r="AB28" s="131"/>
      <c r="AC28" s="131"/>
      <c r="AD28" s="131"/>
      <c r="AE28" s="131"/>
      <c r="AF28" s="131"/>
      <c r="AG28" s="77"/>
    </row>
    <row r="29" spans="1:33" ht="14.4" customHeight="1" x14ac:dyDescent="0.25">
      <c r="A29" s="120"/>
      <c r="B29" s="257">
        <v>1</v>
      </c>
      <c r="C29" s="268" t="s">
        <v>227</v>
      </c>
      <c r="D29" s="243" t="s">
        <v>21</v>
      </c>
      <c r="E29" s="245"/>
      <c r="F29" s="284" t="s">
        <v>210</v>
      </c>
      <c r="G29" s="284"/>
      <c r="H29" s="159" t="s">
        <v>38</v>
      </c>
      <c r="I29" s="333" t="s">
        <v>228</v>
      </c>
      <c r="J29" s="334"/>
      <c r="K29" s="334"/>
      <c r="L29" s="334"/>
      <c r="M29" s="335"/>
      <c r="N29" s="285" t="s">
        <v>160</v>
      </c>
      <c r="O29" s="286"/>
      <c r="P29" s="99"/>
      <c r="Q29" s="100"/>
      <c r="R29" s="132"/>
      <c r="S29" s="132"/>
      <c r="T29" s="336"/>
      <c r="U29" s="337"/>
      <c r="V29" s="337"/>
      <c r="W29" s="337"/>
      <c r="X29" s="338"/>
      <c r="Y29" s="183"/>
      <c r="Z29" s="183"/>
      <c r="AA29" s="183"/>
      <c r="AB29" s="120"/>
      <c r="AC29" s="120"/>
      <c r="AD29" s="120"/>
      <c r="AE29" s="120"/>
      <c r="AF29" s="120"/>
      <c r="AG29" s="77"/>
    </row>
    <row r="30" spans="1:33" ht="14.4" customHeight="1" x14ac:dyDescent="0.25">
      <c r="A30" s="120"/>
      <c r="B30" s="258"/>
      <c r="C30" s="270"/>
      <c r="D30" s="246"/>
      <c r="E30" s="248"/>
      <c r="F30" s="284"/>
      <c r="G30" s="284"/>
      <c r="H30" s="179" t="s">
        <v>40</v>
      </c>
      <c r="I30" s="333" t="s">
        <v>229</v>
      </c>
      <c r="J30" s="334"/>
      <c r="K30" s="334"/>
      <c r="L30" s="334"/>
      <c r="M30" s="335"/>
      <c r="N30" s="285" t="s">
        <v>160</v>
      </c>
      <c r="O30" s="286"/>
      <c r="P30" s="99"/>
      <c r="Q30" s="100"/>
      <c r="R30" s="132"/>
      <c r="S30" s="132"/>
      <c r="T30" s="336"/>
      <c r="U30" s="337"/>
      <c r="V30" s="337"/>
      <c r="W30" s="337"/>
      <c r="X30" s="338"/>
      <c r="Y30" s="183"/>
      <c r="Z30" s="183"/>
      <c r="AA30" s="183"/>
      <c r="AB30" s="120"/>
      <c r="AC30" s="120"/>
      <c r="AD30" s="120"/>
      <c r="AE30" s="120"/>
      <c r="AF30" s="120"/>
      <c r="AG30" s="77"/>
    </row>
    <row r="31" spans="1:33" ht="14.4" customHeight="1" x14ac:dyDescent="0.25">
      <c r="A31" s="120"/>
      <c r="B31" s="258"/>
      <c r="C31" s="270"/>
      <c r="D31" s="246"/>
      <c r="E31" s="248"/>
      <c r="F31" s="284"/>
      <c r="G31" s="284"/>
      <c r="H31" s="159" t="s">
        <v>42</v>
      </c>
      <c r="I31" s="333" t="s">
        <v>230</v>
      </c>
      <c r="J31" s="334"/>
      <c r="K31" s="334"/>
      <c r="L31" s="334"/>
      <c r="M31" s="335"/>
      <c r="N31" s="285" t="s">
        <v>160</v>
      </c>
      <c r="O31" s="286"/>
      <c r="P31" s="99"/>
      <c r="Q31" s="100"/>
      <c r="R31" s="132"/>
      <c r="S31" s="132"/>
      <c r="T31" s="336"/>
      <c r="U31" s="337"/>
      <c r="V31" s="337"/>
      <c r="W31" s="337"/>
      <c r="X31" s="338"/>
      <c r="Y31" s="183"/>
      <c r="Z31" s="183"/>
      <c r="AA31" s="183"/>
      <c r="AB31" s="120"/>
      <c r="AC31" s="120"/>
      <c r="AD31" s="120"/>
      <c r="AE31" s="120"/>
      <c r="AF31" s="120"/>
      <c r="AG31" s="77"/>
    </row>
    <row r="32" spans="1:33" ht="14.4" customHeight="1" x14ac:dyDescent="0.25">
      <c r="A32" s="120"/>
      <c r="B32" s="258"/>
      <c r="C32" s="270"/>
      <c r="D32" s="246"/>
      <c r="E32" s="248"/>
      <c r="F32" s="284"/>
      <c r="G32" s="284"/>
      <c r="H32" s="178" t="s">
        <v>44</v>
      </c>
      <c r="I32" s="333" t="s">
        <v>231</v>
      </c>
      <c r="J32" s="334"/>
      <c r="K32" s="334"/>
      <c r="L32" s="334"/>
      <c r="M32" s="335"/>
      <c r="N32" s="285" t="s">
        <v>160</v>
      </c>
      <c r="O32" s="286"/>
      <c r="P32" s="99"/>
      <c r="Q32" s="100"/>
      <c r="R32" s="132"/>
      <c r="S32" s="132"/>
      <c r="T32" s="336"/>
      <c r="U32" s="337"/>
      <c r="V32" s="337"/>
      <c r="W32" s="337"/>
      <c r="X32" s="338"/>
      <c r="Y32" s="183"/>
      <c r="Z32" s="183"/>
      <c r="AA32" s="183"/>
      <c r="AB32" s="127"/>
      <c r="AC32" s="127"/>
      <c r="AD32" s="127"/>
      <c r="AE32" s="127"/>
      <c r="AF32" s="127"/>
      <c r="AG32" s="77"/>
    </row>
    <row r="33" spans="1:33" ht="14.4" customHeight="1" x14ac:dyDescent="0.25">
      <c r="A33" s="120"/>
      <c r="B33" s="258"/>
      <c r="C33" s="270"/>
      <c r="D33" s="246"/>
      <c r="E33" s="248"/>
      <c r="F33" s="284"/>
      <c r="G33" s="284"/>
      <c r="H33" s="159" t="s">
        <v>46</v>
      </c>
      <c r="I33" s="333" t="s">
        <v>232</v>
      </c>
      <c r="J33" s="334"/>
      <c r="K33" s="334"/>
      <c r="L33" s="334"/>
      <c r="M33" s="335"/>
      <c r="N33" s="285" t="s">
        <v>160</v>
      </c>
      <c r="O33" s="286"/>
      <c r="P33" s="99"/>
      <c r="Q33" s="100"/>
      <c r="R33" s="132"/>
      <c r="S33" s="132"/>
      <c r="T33" s="336"/>
      <c r="U33" s="337"/>
      <c r="V33" s="337"/>
      <c r="W33" s="337"/>
      <c r="X33" s="338"/>
      <c r="Y33" s="183"/>
      <c r="Z33" s="183"/>
      <c r="AA33" s="183"/>
      <c r="AB33" s="120"/>
      <c r="AC33" s="120"/>
      <c r="AD33" s="120"/>
      <c r="AE33" s="120"/>
      <c r="AF33" s="120"/>
      <c r="AG33" s="77"/>
    </row>
    <row r="34" spans="1:33" ht="14.4" customHeight="1" x14ac:dyDescent="0.25">
      <c r="A34" s="120"/>
      <c r="B34" s="258"/>
      <c r="C34" s="270"/>
      <c r="D34" s="243" t="s">
        <v>214</v>
      </c>
      <c r="E34" s="245"/>
      <c r="F34" s="284" t="s">
        <v>210</v>
      </c>
      <c r="G34" s="284"/>
      <c r="H34" s="159" t="s">
        <v>119</v>
      </c>
      <c r="I34" s="333" t="s">
        <v>228</v>
      </c>
      <c r="J34" s="334"/>
      <c r="K34" s="334"/>
      <c r="L34" s="334"/>
      <c r="M34" s="335"/>
      <c r="N34" s="285" t="s">
        <v>160</v>
      </c>
      <c r="O34" s="286"/>
      <c r="P34" s="99"/>
      <c r="Q34" s="100"/>
      <c r="R34" s="132"/>
      <c r="S34" s="132"/>
      <c r="T34" s="336"/>
      <c r="U34" s="337"/>
      <c r="V34" s="337"/>
      <c r="W34" s="337"/>
      <c r="X34" s="338"/>
      <c r="Y34" s="183"/>
      <c r="Z34" s="183"/>
      <c r="AA34" s="183"/>
      <c r="AB34" s="120"/>
      <c r="AC34" s="120"/>
      <c r="AD34" s="120"/>
      <c r="AE34" s="120"/>
      <c r="AF34" s="120"/>
      <c r="AG34" s="77"/>
    </row>
    <row r="35" spans="1:33" ht="14.4" customHeight="1" x14ac:dyDescent="0.25">
      <c r="A35" s="120"/>
      <c r="B35" s="258"/>
      <c r="C35" s="270"/>
      <c r="D35" s="246"/>
      <c r="E35" s="248"/>
      <c r="F35" s="284"/>
      <c r="G35" s="284"/>
      <c r="H35" s="179" t="s">
        <v>120</v>
      </c>
      <c r="I35" s="333" t="s">
        <v>229</v>
      </c>
      <c r="J35" s="334"/>
      <c r="K35" s="334"/>
      <c r="L35" s="334"/>
      <c r="M35" s="335"/>
      <c r="N35" s="285" t="s">
        <v>160</v>
      </c>
      <c r="O35" s="286"/>
      <c r="P35" s="99"/>
      <c r="Q35" s="100"/>
      <c r="R35" s="132"/>
      <c r="S35" s="132"/>
      <c r="T35" s="336"/>
      <c r="U35" s="337"/>
      <c r="V35" s="337"/>
      <c r="W35" s="337"/>
      <c r="X35" s="338"/>
      <c r="Y35" s="183"/>
      <c r="Z35" s="183"/>
      <c r="AA35" s="183"/>
      <c r="AB35" s="120"/>
      <c r="AC35" s="120"/>
      <c r="AD35" s="120"/>
      <c r="AE35" s="120"/>
      <c r="AF35" s="120"/>
      <c r="AG35" s="77"/>
    </row>
    <row r="36" spans="1:33" ht="14.4" customHeight="1" x14ac:dyDescent="0.25">
      <c r="A36" s="120"/>
      <c r="B36" s="258"/>
      <c r="C36" s="270"/>
      <c r="D36" s="246"/>
      <c r="E36" s="248"/>
      <c r="F36" s="284"/>
      <c r="G36" s="284"/>
      <c r="H36" s="159" t="s">
        <v>121</v>
      </c>
      <c r="I36" s="333" t="s">
        <v>233</v>
      </c>
      <c r="J36" s="334"/>
      <c r="K36" s="334"/>
      <c r="L36" s="334"/>
      <c r="M36" s="335"/>
      <c r="N36" s="285" t="s">
        <v>160</v>
      </c>
      <c r="O36" s="286"/>
      <c r="P36" s="99"/>
      <c r="Q36" s="100"/>
      <c r="R36" s="132"/>
      <c r="S36" s="132"/>
      <c r="T36" s="336"/>
      <c r="U36" s="337"/>
      <c r="V36" s="337"/>
      <c r="W36" s="337"/>
      <c r="X36" s="338"/>
      <c r="Y36" s="183"/>
      <c r="Z36" s="183"/>
      <c r="AA36" s="183"/>
      <c r="AB36" s="120"/>
      <c r="AC36" s="120"/>
      <c r="AD36" s="120"/>
      <c r="AE36" s="120"/>
      <c r="AF36" s="120"/>
      <c r="AG36" s="77"/>
    </row>
    <row r="37" spans="1:33" ht="14.4" customHeight="1" x14ac:dyDescent="0.25">
      <c r="A37" s="120"/>
      <c r="B37" s="258"/>
      <c r="C37" s="270"/>
      <c r="D37" s="246"/>
      <c r="E37" s="248"/>
      <c r="F37" s="284"/>
      <c r="G37" s="284"/>
      <c r="H37" s="178" t="s">
        <v>122</v>
      </c>
      <c r="I37" s="333" t="s">
        <v>231</v>
      </c>
      <c r="J37" s="334"/>
      <c r="K37" s="334"/>
      <c r="L37" s="334"/>
      <c r="M37" s="335"/>
      <c r="N37" s="285" t="s">
        <v>160</v>
      </c>
      <c r="O37" s="286"/>
      <c r="P37" s="99"/>
      <c r="Q37" s="100"/>
      <c r="R37" s="132"/>
      <c r="S37" s="132"/>
      <c r="T37" s="336"/>
      <c r="U37" s="337"/>
      <c r="V37" s="337"/>
      <c r="W37" s="337"/>
      <c r="X37" s="338"/>
      <c r="Y37" s="183"/>
      <c r="Z37" s="183"/>
      <c r="AA37" s="183"/>
      <c r="AB37" s="127"/>
      <c r="AC37" s="127"/>
      <c r="AD37" s="127"/>
      <c r="AE37" s="127"/>
      <c r="AF37" s="127"/>
      <c r="AG37" s="77"/>
    </row>
    <row r="38" spans="1:33" ht="14.4" customHeight="1" x14ac:dyDescent="0.25">
      <c r="A38" s="120"/>
      <c r="B38" s="258"/>
      <c r="C38" s="270"/>
      <c r="D38" s="246"/>
      <c r="E38" s="248"/>
      <c r="F38" s="284"/>
      <c r="G38" s="284"/>
      <c r="H38" s="159" t="s">
        <v>123</v>
      </c>
      <c r="I38" s="333" t="s">
        <v>234</v>
      </c>
      <c r="J38" s="334"/>
      <c r="K38" s="334"/>
      <c r="L38" s="334"/>
      <c r="M38" s="335"/>
      <c r="N38" s="285" t="s">
        <v>160</v>
      </c>
      <c r="O38" s="286"/>
      <c r="P38" s="99"/>
      <c r="Q38" s="100"/>
      <c r="R38" s="132"/>
      <c r="S38" s="132"/>
      <c r="T38" s="336"/>
      <c r="U38" s="337"/>
      <c r="V38" s="337"/>
      <c r="W38" s="337"/>
      <c r="X38" s="338"/>
      <c r="Y38" s="183"/>
      <c r="Z38" s="183"/>
      <c r="AA38" s="183"/>
      <c r="AB38" s="120"/>
      <c r="AC38" s="120"/>
      <c r="AD38" s="120"/>
      <c r="AE38" s="120"/>
      <c r="AF38" s="120"/>
      <c r="AG38" s="77"/>
    </row>
    <row r="39" spans="1:33" ht="14.4" customHeight="1" x14ac:dyDescent="0.25">
      <c r="A39" s="120"/>
      <c r="B39" s="258"/>
      <c r="C39" s="270"/>
      <c r="D39" s="243" t="s">
        <v>216</v>
      </c>
      <c r="E39" s="245"/>
      <c r="F39" s="284" t="s">
        <v>210</v>
      </c>
      <c r="G39" s="284"/>
      <c r="H39" s="159" t="s">
        <v>124</v>
      </c>
      <c r="I39" s="333" t="s">
        <v>228</v>
      </c>
      <c r="J39" s="334"/>
      <c r="K39" s="334"/>
      <c r="L39" s="334"/>
      <c r="M39" s="335"/>
      <c r="N39" s="285" t="s">
        <v>160</v>
      </c>
      <c r="O39" s="286"/>
      <c r="P39" s="99"/>
      <c r="Q39" s="100"/>
      <c r="R39" s="132"/>
      <c r="S39" s="132"/>
      <c r="T39" s="336"/>
      <c r="U39" s="337"/>
      <c r="V39" s="337"/>
      <c r="W39" s="337"/>
      <c r="X39" s="338"/>
      <c r="Y39" s="183"/>
      <c r="Z39" s="183"/>
      <c r="AA39" s="183"/>
      <c r="AB39" s="120"/>
      <c r="AC39" s="120"/>
      <c r="AD39" s="120"/>
      <c r="AE39" s="120"/>
      <c r="AF39" s="120"/>
      <c r="AG39" s="77"/>
    </row>
    <row r="40" spans="1:33" ht="14.4" customHeight="1" x14ac:dyDescent="0.25">
      <c r="A40" s="120"/>
      <c r="B40" s="258"/>
      <c r="C40" s="270"/>
      <c r="D40" s="246"/>
      <c r="E40" s="248"/>
      <c r="F40" s="284"/>
      <c r="G40" s="284"/>
      <c r="H40" s="179" t="s">
        <v>126</v>
      </c>
      <c r="I40" s="333" t="s">
        <v>229</v>
      </c>
      <c r="J40" s="334"/>
      <c r="K40" s="334"/>
      <c r="L40" s="334"/>
      <c r="M40" s="335"/>
      <c r="N40" s="285" t="s">
        <v>160</v>
      </c>
      <c r="O40" s="286"/>
      <c r="P40" s="99"/>
      <c r="Q40" s="100"/>
      <c r="R40" s="132"/>
      <c r="S40" s="132"/>
      <c r="T40" s="336"/>
      <c r="U40" s="337"/>
      <c r="V40" s="337"/>
      <c r="W40" s="337"/>
      <c r="X40" s="338"/>
      <c r="Y40" s="183"/>
      <c r="Z40" s="183"/>
      <c r="AA40" s="183"/>
      <c r="AB40" s="120"/>
      <c r="AC40" s="120"/>
      <c r="AD40" s="120"/>
      <c r="AE40" s="120"/>
      <c r="AF40" s="120"/>
      <c r="AG40" s="77"/>
    </row>
    <row r="41" spans="1:33" ht="14.4" customHeight="1" x14ac:dyDescent="0.25">
      <c r="A41" s="120"/>
      <c r="B41" s="258"/>
      <c r="C41" s="270"/>
      <c r="D41" s="246"/>
      <c r="E41" s="248"/>
      <c r="F41" s="284"/>
      <c r="G41" s="284"/>
      <c r="H41" s="159" t="s">
        <v>127</v>
      </c>
      <c r="I41" s="333" t="s">
        <v>235</v>
      </c>
      <c r="J41" s="334"/>
      <c r="K41" s="334"/>
      <c r="L41" s="334"/>
      <c r="M41" s="335"/>
      <c r="N41" s="285" t="s">
        <v>160</v>
      </c>
      <c r="O41" s="286"/>
      <c r="P41" s="99"/>
      <c r="Q41" s="100"/>
      <c r="R41" s="132"/>
      <c r="S41" s="132"/>
      <c r="T41" s="336"/>
      <c r="U41" s="337"/>
      <c r="V41" s="337"/>
      <c r="W41" s="337"/>
      <c r="X41" s="338"/>
      <c r="Y41" s="183"/>
      <c r="Z41" s="183"/>
      <c r="AA41" s="183"/>
      <c r="AB41" s="120"/>
      <c r="AC41" s="120"/>
      <c r="AD41" s="120"/>
      <c r="AE41" s="120"/>
      <c r="AF41" s="120"/>
      <c r="AG41" s="77"/>
    </row>
    <row r="42" spans="1:33" ht="14.4" customHeight="1" x14ac:dyDescent="0.25">
      <c r="A42" s="120"/>
      <c r="B42" s="258"/>
      <c r="C42" s="270"/>
      <c r="D42" s="246"/>
      <c r="E42" s="248"/>
      <c r="F42" s="284"/>
      <c r="G42" s="284"/>
      <c r="H42" s="178" t="s">
        <v>128</v>
      </c>
      <c r="I42" s="333" t="s">
        <v>231</v>
      </c>
      <c r="J42" s="334"/>
      <c r="K42" s="334"/>
      <c r="L42" s="334"/>
      <c r="M42" s="335"/>
      <c r="N42" s="285" t="s">
        <v>160</v>
      </c>
      <c r="O42" s="286"/>
      <c r="P42" s="99"/>
      <c r="Q42" s="100"/>
      <c r="R42" s="132"/>
      <c r="S42" s="132"/>
      <c r="T42" s="336"/>
      <c r="U42" s="337"/>
      <c r="V42" s="337"/>
      <c r="W42" s="337"/>
      <c r="X42" s="338"/>
      <c r="Y42" s="183"/>
      <c r="Z42" s="183"/>
      <c r="AA42" s="183"/>
      <c r="AB42" s="127"/>
      <c r="AC42" s="127"/>
      <c r="AD42" s="127"/>
      <c r="AE42" s="127"/>
      <c r="AF42" s="127"/>
      <c r="AG42" s="77"/>
    </row>
    <row r="43" spans="1:33" ht="14.4" customHeight="1" x14ac:dyDescent="0.25">
      <c r="A43" s="120"/>
      <c r="B43" s="258"/>
      <c r="C43" s="270"/>
      <c r="D43" s="246"/>
      <c r="E43" s="248"/>
      <c r="F43" s="284"/>
      <c r="G43" s="284"/>
      <c r="H43" s="159" t="s">
        <v>129</v>
      </c>
      <c r="I43" s="333" t="s">
        <v>236</v>
      </c>
      <c r="J43" s="334"/>
      <c r="K43" s="334"/>
      <c r="L43" s="334"/>
      <c r="M43" s="335"/>
      <c r="N43" s="285" t="s">
        <v>160</v>
      </c>
      <c r="O43" s="286"/>
      <c r="P43" s="99"/>
      <c r="Q43" s="100"/>
      <c r="R43" s="132"/>
      <c r="S43" s="132"/>
      <c r="T43" s="336"/>
      <c r="U43" s="337"/>
      <c r="V43" s="337"/>
      <c r="W43" s="337"/>
      <c r="X43" s="338"/>
      <c r="Y43" s="183"/>
      <c r="Z43" s="183"/>
      <c r="AA43" s="183"/>
      <c r="AB43" s="120"/>
      <c r="AC43" s="120"/>
      <c r="AD43" s="120"/>
      <c r="AE43" s="120"/>
      <c r="AF43" s="120"/>
      <c r="AG43" s="77"/>
    </row>
    <row r="44" spans="1:33" ht="14.4" customHeight="1" x14ac:dyDescent="0.25">
      <c r="A44" s="120"/>
      <c r="B44" s="258"/>
      <c r="C44" s="270"/>
      <c r="D44" s="243" t="s">
        <v>238</v>
      </c>
      <c r="E44" s="244"/>
      <c r="F44" s="244"/>
      <c r="G44" s="245"/>
      <c r="H44" s="159" t="s">
        <v>239</v>
      </c>
      <c r="I44" s="333" t="s">
        <v>228</v>
      </c>
      <c r="J44" s="334"/>
      <c r="K44" s="334"/>
      <c r="L44" s="334"/>
      <c r="M44" s="335"/>
      <c r="N44" s="285" t="s">
        <v>160</v>
      </c>
      <c r="O44" s="286"/>
      <c r="P44" s="99"/>
      <c r="Q44" s="100"/>
      <c r="R44" s="132"/>
      <c r="S44" s="132"/>
      <c r="T44" s="336"/>
      <c r="U44" s="337"/>
      <c r="V44" s="337"/>
      <c r="W44" s="337"/>
      <c r="X44" s="338"/>
      <c r="Y44" s="183"/>
      <c r="Z44" s="183"/>
      <c r="AA44" s="183"/>
      <c r="AB44" s="120"/>
      <c r="AC44" s="120"/>
      <c r="AD44" s="120"/>
      <c r="AE44" s="120"/>
      <c r="AF44" s="120"/>
      <c r="AG44" s="77"/>
    </row>
    <row r="45" spans="1:33" ht="14.4" customHeight="1" x14ac:dyDescent="0.25">
      <c r="A45" s="120"/>
      <c r="B45" s="258"/>
      <c r="C45" s="270"/>
      <c r="D45" s="246"/>
      <c r="E45" s="247"/>
      <c r="F45" s="247"/>
      <c r="G45" s="248"/>
      <c r="H45" s="179" t="s">
        <v>240</v>
      </c>
      <c r="I45" s="333" t="s">
        <v>229</v>
      </c>
      <c r="J45" s="334"/>
      <c r="K45" s="334"/>
      <c r="L45" s="334"/>
      <c r="M45" s="335"/>
      <c r="N45" s="285" t="s">
        <v>160</v>
      </c>
      <c r="O45" s="286"/>
      <c r="P45" s="99"/>
      <c r="Q45" s="100"/>
      <c r="R45" s="132"/>
      <c r="S45" s="132"/>
      <c r="T45" s="336"/>
      <c r="U45" s="337"/>
      <c r="V45" s="337"/>
      <c r="W45" s="337"/>
      <c r="X45" s="338"/>
      <c r="Y45" s="183"/>
      <c r="Z45" s="183"/>
      <c r="AA45" s="183"/>
      <c r="AB45" s="120"/>
      <c r="AC45" s="120"/>
      <c r="AD45" s="120"/>
      <c r="AE45" s="120"/>
      <c r="AF45" s="120"/>
      <c r="AG45" s="77"/>
    </row>
    <row r="46" spans="1:33" ht="14.4" customHeight="1" x14ac:dyDescent="0.25">
      <c r="A46" s="120"/>
      <c r="B46" s="258"/>
      <c r="C46" s="270"/>
      <c r="D46" s="246"/>
      <c r="E46" s="247"/>
      <c r="F46" s="247"/>
      <c r="G46" s="248"/>
      <c r="H46" s="159" t="s">
        <v>241</v>
      </c>
      <c r="I46" s="333" t="s">
        <v>242</v>
      </c>
      <c r="J46" s="334"/>
      <c r="K46" s="334"/>
      <c r="L46" s="334"/>
      <c r="M46" s="335"/>
      <c r="N46" s="285" t="s">
        <v>160</v>
      </c>
      <c r="O46" s="286"/>
      <c r="P46" s="99"/>
      <c r="Q46" s="100"/>
      <c r="R46" s="132"/>
      <c r="S46" s="132"/>
      <c r="T46" s="336"/>
      <c r="U46" s="337"/>
      <c r="V46" s="337"/>
      <c r="W46" s="337"/>
      <c r="X46" s="338"/>
      <c r="Y46" s="183"/>
      <c r="Z46" s="183"/>
      <c r="AA46" s="183"/>
      <c r="AB46" s="120"/>
      <c r="AC46" s="120"/>
      <c r="AD46" s="120"/>
      <c r="AE46" s="120"/>
      <c r="AF46" s="120"/>
      <c r="AG46" s="77"/>
    </row>
    <row r="47" spans="1:33" ht="14.4" customHeight="1" x14ac:dyDescent="0.25">
      <c r="A47" s="120"/>
      <c r="B47" s="258"/>
      <c r="C47" s="270"/>
      <c r="D47" s="246"/>
      <c r="E47" s="247"/>
      <c r="F47" s="247"/>
      <c r="G47" s="248"/>
      <c r="H47" s="178" t="s">
        <v>243</v>
      </c>
      <c r="I47" s="333" t="s">
        <v>231</v>
      </c>
      <c r="J47" s="334"/>
      <c r="K47" s="334"/>
      <c r="L47" s="334"/>
      <c r="M47" s="335"/>
      <c r="N47" s="285" t="s">
        <v>160</v>
      </c>
      <c r="O47" s="286"/>
      <c r="P47" s="99"/>
      <c r="Q47" s="100"/>
      <c r="R47" s="132"/>
      <c r="S47" s="132"/>
      <c r="T47" s="336"/>
      <c r="U47" s="337"/>
      <c r="V47" s="337"/>
      <c r="W47" s="337"/>
      <c r="X47" s="338"/>
      <c r="Y47" s="183"/>
      <c r="Z47" s="183"/>
      <c r="AA47" s="183"/>
      <c r="AB47" s="127"/>
      <c r="AC47" s="127"/>
      <c r="AD47" s="127"/>
      <c r="AE47" s="127"/>
      <c r="AF47" s="127"/>
      <c r="AG47" s="77"/>
    </row>
    <row r="48" spans="1:33" ht="14.4" customHeight="1" x14ac:dyDescent="0.25">
      <c r="A48" s="120"/>
      <c r="B48" s="258"/>
      <c r="C48" s="270"/>
      <c r="D48" s="313"/>
      <c r="E48" s="314"/>
      <c r="F48" s="314"/>
      <c r="G48" s="315"/>
      <c r="H48" s="159" t="s">
        <v>244</v>
      </c>
      <c r="I48" s="333" t="s">
        <v>245</v>
      </c>
      <c r="J48" s="334"/>
      <c r="K48" s="334"/>
      <c r="L48" s="334"/>
      <c r="M48" s="335"/>
      <c r="N48" s="285" t="s">
        <v>160</v>
      </c>
      <c r="O48" s="286"/>
      <c r="P48" s="99"/>
      <c r="Q48" s="100"/>
      <c r="R48" s="132"/>
      <c r="S48" s="132"/>
      <c r="T48" s="336"/>
      <c r="U48" s="337"/>
      <c r="V48" s="337"/>
      <c r="W48" s="337"/>
      <c r="X48" s="338"/>
      <c r="Y48" s="183"/>
      <c r="Z48" s="183"/>
      <c r="AA48" s="183"/>
      <c r="AB48" s="120"/>
      <c r="AC48" s="120"/>
      <c r="AD48" s="120"/>
      <c r="AE48" s="120"/>
      <c r="AF48" s="120"/>
      <c r="AG48" s="77"/>
    </row>
    <row r="49" spans="1:33" ht="14.4" customHeight="1" x14ac:dyDescent="0.25">
      <c r="A49" s="120"/>
      <c r="B49" s="257">
        <v>2</v>
      </c>
      <c r="C49" s="268" t="s">
        <v>247</v>
      </c>
      <c r="D49" s="284" t="s">
        <v>21</v>
      </c>
      <c r="E49" s="284"/>
      <c r="F49" s="244" t="s">
        <v>210</v>
      </c>
      <c r="G49" s="245"/>
      <c r="H49" s="160" t="s">
        <v>51</v>
      </c>
      <c r="I49" s="339" t="s">
        <v>248</v>
      </c>
      <c r="J49" s="340"/>
      <c r="K49" s="340"/>
      <c r="L49" s="340"/>
      <c r="M49" s="341"/>
      <c r="N49" s="285" t="s">
        <v>249</v>
      </c>
      <c r="O49" s="286"/>
      <c r="P49" s="99"/>
      <c r="Q49" s="100"/>
      <c r="R49" s="132"/>
      <c r="S49" s="132"/>
      <c r="T49" s="336"/>
      <c r="U49" s="337"/>
      <c r="V49" s="337"/>
      <c r="W49" s="337"/>
      <c r="X49" s="338"/>
      <c r="Y49" s="183"/>
      <c r="Z49" s="183"/>
      <c r="AA49" s="183"/>
      <c r="AB49" s="120"/>
      <c r="AC49" s="120"/>
      <c r="AD49" s="120"/>
      <c r="AE49" s="120"/>
      <c r="AF49" s="120"/>
      <c r="AG49" s="77"/>
    </row>
    <row r="50" spans="1:33" ht="14.4" customHeight="1" x14ac:dyDescent="0.25">
      <c r="A50" s="120"/>
      <c r="B50" s="258"/>
      <c r="C50" s="270"/>
      <c r="D50" s="284"/>
      <c r="E50" s="284"/>
      <c r="F50" s="314"/>
      <c r="G50" s="315"/>
      <c r="H50" s="160" t="s">
        <v>52</v>
      </c>
      <c r="I50" s="339" t="s">
        <v>250</v>
      </c>
      <c r="J50" s="340"/>
      <c r="K50" s="340"/>
      <c r="L50" s="340"/>
      <c r="M50" s="341"/>
      <c r="N50" s="323" t="s">
        <v>251</v>
      </c>
      <c r="O50" s="286"/>
      <c r="P50" s="99"/>
      <c r="Q50" s="100"/>
      <c r="R50" s="132"/>
      <c r="S50" s="132"/>
      <c r="T50" s="336"/>
      <c r="U50" s="337"/>
      <c r="V50" s="337"/>
      <c r="W50" s="337"/>
      <c r="X50" s="338"/>
      <c r="Y50" s="183"/>
      <c r="Z50" s="183"/>
      <c r="AA50" s="183"/>
      <c r="AB50" s="120"/>
      <c r="AC50" s="120"/>
      <c r="AD50" s="120"/>
      <c r="AE50" s="120"/>
      <c r="AF50" s="120"/>
      <c r="AG50" s="77"/>
    </row>
    <row r="51" spans="1:33" ht="14.4" customHeight="1" x14ac:dyDescent="0.25">
      <c r="A51" s="120"/>
      <c r="B51" s="258"/>
      <c r="C51" s="270"/>
      <c r="D51" s="284" t="s">
        <v>214</v>
      </c>
      <c r="E51" s="284"/>
      <c r="F51" s="244" t="s">
        <v>210</v>
      </c>
      <c r="G51" s="245"/>
      <c r="H51" s="160" t="s">
        <v>60</v>
      </c>
      <c r="I51" s="339" t="s">
        <v>252</v>
      </c>
      <c r="J51" s="340"/>
      <c r="K51" s="340"/>
      <c r="L51" s="340"/>
      <c r="M51" s="341"/>
      <c r="N51" s="285" t="s">
        <v>249</v>
      </c>
      <c r="O51" s="286"/>
      <c r="P51" s="99"/>
      <c r="Q51" s="100"/>
      <c r="R51" s="132"/>
      <c r="S51" s="132"/>
      <c r="T51" s="336"/>
      <c r="U51" s="337"/>
      <c r="V51" s="337"/>
      <c r="W51" s="337"/>
      <c r="X51" s="338"/>
      <c r="Y51" s="183"/>
      <c r="Z51" s="183"/>
      <c r="AA51" s="183"/>
      <c r="AB51" s="120"/>
      <c r="AC51" s="120"/>
      <c r="AD51" s="120"/>
      <c r="AE51" s="120"/>
      <c r="AF51" s="120"/>
      <c r="AG51" s="77"/>
    </row>
    <row r="52" spans="1:33" ht="14.4" customHeight="1" x14ac:dyDescent="0.25">
      <c r="A52" s="120"/>
      <c r="B52" s="258"/>
      <c r="C52" s="270"/>
      <c r="D52" s="284"/>
      <c r="E52" s="284"/>
      <c r="F52" s="314"/>
      <c r="G52" s="315"/>
      <c r="H52" s="160" t="s">
        <v>61</v>
      </c>
      <c r="I52" s="339" t="s">
        <v>253</v>
      </c>
      <c r="J52" s="340"/>
      <c r="K52" s="340"/>
      <c r="L52" s="340"/>
      <c r="M52" s="341"/>
      <c r="N52" s="323" t="s">
        <v>251</v>
      </c>
      <c r="O52" s="286"/>
      <c r="P52" s="99"/>
      <c r="Q52" s="100"/>
      <c r="R52" s="132"/>
      <c r="S52" s="132"/>
      <c r="T52" s="336"/>
      <c r="U52" s="337"/>
      <c r="V52" s="337"/>
      <c r="W52" s="337"/>
      <c r="X52" s="338"/>
      <c r="Y52" s="183"/>
      <c r="Z52" s="183"/>
      <c r="AA52" s="183"/>
      <c r="AB52" s="120"/>
      <c r="AC52" s="120"/>
      <c r="AD52" s="120"/>
      <c r="AE52" s="120"/>
      <c r="AF52" s="120"/>
      <c r="AG52" s="77"/>
    </row>
    <row r="53" spans="1:33" ht="14.4" customHeight="1" x14ac:dyDescent="0.25">
      <c r="A53" s="120"/>
      <c r="B53" s="258"/>
      <c r="C53" s="270"/>
      <c r="D53" s="284" t="s">
        <v>216</v>
      </c>
      <c r="E53" s="284"/>
      <c r="F53" s="244" t="s">
        <v>210</v>
      </c>
      <c r="G53" s="245"/>
      <c r="H53" s="160" t="s">
        <v>65</v>
      </c>
      <c r="I53" s="339" t="s">
        <v>248</v>
      </c>
      <c r="J53" s="340"/>
      <c r="K53" s="340"/>
      <c r="L53" s="340"/>
      <c r="M53" s="341"/>
      <c r="N53" s="285" t="s">
        <v>249</v>
      </c>
      <c r="O53" s="286"/>
      <c r="P53" s="99"/>
      <c r="Q53" s="100"/>
      <c r="R53" s="132"/>
      <c r="S53" s="132"/>
      <c r="T53" s="336"/>
      <c r="U53" s="337"/>
      <c r="V53" s="337"/>
      <c r="W53" s="337"/>
      <c r="X53" s="338"/>
      <c r="Y53" s="183"/>
      <c r="Z53" s="183"/>
      <c r="AA53" s="183"/>
      <c r="AB53" s="120"/>
      <c r="AC53" s="120"/>
      <c r="AD53" s="120"/>
      <c r="AE53" s="120"/>
      <c r="AF53" s="120"/>
      <c r="AG53" s="77"/>
    </row>
    <row r="54" spans="1:33" ht="14.4" customHeight="1" x14ac:dyDescent="0.25">
      <c r="A54" s="120"/>
      <c r="B54" s="258"/>
      <c r="C54" s="270"/>
      <c r="D54" s="284"/>
      <c r="E54" s="284"/>
      <c r="F54" s="314"/>
      <c r="G54" s="315"/>
      <c r="H54" s="160" t="s">
        <v>66</v>
      </c>
      <c r="I54" s="339" t="s">
        <v>250</v>
      </c>
      <c r="J54" s="340"/>
      <c r="K54" s="340"/>
      <c r="L54" s="340"/>
      <c r="M54" s="341"/>
      <c r="N54" s="323" t="s">
        <v>251</v>
      </c>
      <c r="O54" s="286"/>
      <c r="P54" s="99"/>
      <c r="Q54" s="100"/>
      <c r="R54" s="132"/>
      <c r="S54" s="132"/>
      <c r="T54" s="336"/>
      <c r="U54" s="337"/>
      <c r="V54" s="337"/>
      <c r="W54" s="337"/>
      <c r="X54" s="338"/>
      <c r="Y54" s="183"/>
      <c r="Z54" s="183"/>
      <c r="AA54" s="183"/>
      <c r="AB54" s="120"/>
      <c r="AC54" s="120"/>
      <c r="AD54" s="120"/>
      <c r="AE54" s="120"/>
      <c r="AF54" s="120"/>
      <c r="AG54" s="77"/>
    </row>
    <row r="55" spans="1:33" ht="14.4" customHeight="1" x14ac:dyDescent="0.25">
      <c r="A55" s="120"/>
      <c r="B55" s="258"/>
      <c r="C55" s="270"/>
      <c r="D55" s="356" t="s">
        <v>238</v>
      </c>
      <c r="E55" s="346"/>
      <c r="F55" s="346"/>
      <c r="G55" s="347"/>
      <c r="H55" s="185" t="s">
        <v>68</v>
      </c>
      <c r="I55" s="342" t="s">
        <v>254</v>
      </c>
      <c r="J55" s="361"/>
      <c r="K55" s="361"/>
      <c r="L55" s="361"/>
      <c r="M55" s="343"/>
      <c r="N55" s="352" t="s">
        <v>249</v>
      </c>
      <c r="O55" s="353"/>
      <c r="P55" s="99"/>
      <c r="Q55" s="100"/>
      <c r="R55" s="132"/>
      <c r="S55" s="132"/>
      <c r="T55" s="336"/>
      <c r="U55" s="337"/>
      <c r="V55" s="337"/>
      <c r="W55" s="337"/>
      <c r="X55" s="338"/>
      <c r="Y55" s="183"/>
      <c r="Z55" s="183"/>
      <c r="AA55" s="183"/>
      <c r="AB55" s="120"/>
      <c r="AC55" s="120"/>
      <c r="AD55" s="120"/>
      <c r="AE55" s="120"/>
      <c r="AF55" s="120"/>
      <c r="AG55" s="77"/>
    </row>
    <row r="56" spans="1:33" ht="14.4" customHeight="1" x14ac:dyDescent="0.25">
      <c r="A56" s="120"/>
      <c r="B56" s="258"/>
      <c r="C56" s="270"/>
      <c r="D56" s="358"/>
      <c r="E56" s="359"/>
      <c r="F56" s="359"/>
      <c r="G56" s="360"/>
      <c r="H56" s="185" t="s">
        <v>70</v>
      </c>
      <c r="I56" s="342" t="s">
        <v>255</v>
      </c>
      <c r="J56" s="361"/>
      <c r="K56" s="361"/>
      <c r="L56" s="361"/>
      <c r="M56" s="343"/>
      <c r="N56" s="362" t="s">
        <v>251</v>
      </c>
      <c r="O56" s="353"/>
      <c r="P56" s="99"/>
      <c r="Q56" s="100"/>
      <c r="R56" s="132"/>
      <c r="S56" s="132"/>
      <c r="T56" s="336"/>
      <c r="U56" s="337"/>
      <c r="V56" s="337"/>
      <c r="W56" s="337"/>
      <c r="X56" s="338"/>
      <c r="Y56" s="183"/>
      <c r="Z56" s="183"/>
      <c r="AA56" s="183"/>
      <c r="AB56" s="120"/>
      <c r="AC56" s="120"/>
      <c r="AD56" s="120"/>
      <c r="AE56" s="120"/>
      <c r="AF56" s="120"/>
      <c r="AG56" s="77"/>
    </row>
    <row r="57" spans="1:33" ht="14.4" customHeight="1" x14ac:dyDescent="0.25">
      <c r="A57" s="120"/>
      <c r="B57" s="257">
        <v>3</v>
      </c>
      <c r="C57" s="268" t="s">
        <v>23</v>
      </c>
      <c r="D57" s="243" t="s">
        <v>21</v>
      </c>
      <c r="E57" s="245"/>
      <c r="F57" s="243" t="s">
        <v>210</v>
      </c>
      <c r="G57" s="245"/>
      <c r="H57" s="160" t="s">
        <v>74</v>
      </c>
      <c r="I57" s="344" t="s">
        <v>256</v>
      </c>
      <c r="J57" s="344"/>
      <c r="K57" s="344"/>
      <c r="L57" s="339" t="s">
        <v>257</v>
      </c>
      <c r="M57" s="341"/>
      <c r="N57" s="285" t="s">
        <v>160</v>
      </c>
      <c r="O57" s="286"/>
      <c r="P57" s="99"/>
      <c r="Q57" s="100"/>
      <c r="R57" s="132"/>
      <c r="S57" s="132"/>
      <c r="T57" s="336"/>
      <c r="U57" s="337"/>
      <c r="V57" s="337"/>
      <c r="W57" s="337"/>
      <c r="X57" s="338"/>
      <c r="Y57" s="183"/>
      <c r="Z57" s="183"/>
      <c r="AA57" s="183"/>
      <c r="AB57" s="120"/>
      <c r="AC57" s="120"/>
      <c r="AD57" s="120"/>
      <c r="AE57" s="120"/>
      <c r="AF57" s="120"/>
      <c r="AG57" s="77"/>
    </row>
    <row r="58" spans="1:33" ht="14.4" customHeight="1" x14ac:dyDescent="0.25">
      <c r="A58" s="120"/>
      <c r="B58" s="258"/>
      <c r="C58" s="270"/>
      <c r="D58" s="246"/>
      <c r="E58" s="248"/>
      <c r="F58" s="313"/>
      <c r="G58" s="315"/>
      <c r="H58" s="160" t="s">
        <v>75</v>
      </c>
      <c r="I58" s="344"/>
      <c r="J58" s="344"/>
      <c r="K58" s="344"/>
      <c r="L58" s="339" t="s">
        <v>258</v>
      </c>
      <c r="M58" s="341"/>
      <c r="N58" s="350" t="s">
        <v>160</v>
      </c>
      <c r="O58" s="351"/>
      <c r="P58" s="99"/>
      <c r="Q58" s="100"/>
      <c r="R58" s="132"/>
      <c r="S58" s="132"/>
      <c r="T58" s="336"/>
      <c r="U58" s="337"/>
      <c r="V58" s="337"/>
      <c r="W58" s="337"/>
      <c r="X58" s="338"/>
      <c r="Y58" s="183"/>
      <c r="Z58" s="183"/>
      <c r="AA58" s="183"/>
      <c r="AB58" s="120"/>
      <c r="AC58" s="120"/>
      <c r="AD58" s="120"/>
      <c r="AE58" s="120"/>
      <c r="AF58" s="120"/>
      <c r="AG58" s="77"/>
    </row>
    <row r="59" spans="1:33" ht="14.4" customHeight="1" x14ac:dyDescent="0.25">
      <c r="A59" s="120"/>
      <c r="B59" s="258"/>
      <c r="C59" s="270"/>
      <c r="D59" s="243" t="s">
        <v>214</v>
      </c>
      <c r="E59" s="245"/>
      <c r="F59" s="284" t="s">
        <v>210</v>
      </c>
      <c r="G59" s="284"/>
      <c r="H59" s="160" t="s">
        <v>76</v>
      </c>
      <c r="I59" s="344" t="s">
        <v>256</v>
      </c>
      <c r="J59" s="344"/>
      <c r="K59" s="344"/>
      <c r="L59" s="339" t="s">
        <v>257</v>
      </c>
      <c r="M59" s="341"/>
      <c r="N59" s="285" t="s">
        <v>160</v>
      </c>
      <c r="O59" s="286"/>
      <c r="P59" s="99"/>
      <c r="Q59" s="100"/>
      <c r="R59" s="132"/>
      <c r="S59" s="132"/>
      <c r="T59" s="336"/>
      <c r="U59" s="337"/>
      <c r="V59" s="337"/>
      <c r="W59" s="337"/>
      <c r="X59" s="338"/>
      <c r="Y59" s="183"/>
      <c r="Z59" s="183"/>
      <c r="AA59" s="183"/>
      <c r="AB59" s="120"/>
      <c r="AC59" s="120"/>
      <c r="AD59" s="120"/>
      <c r="AE59" s="120"/>
      <c r="AF59" s="120"/>
      <c r="AG59" s="77"/>
    </row>
    <row r="60" spans="1:33" ht="14.4" customHeight="1" x14ac:dyDescent="0.25">
      <c r="A60" s="120"/>
      <c r="B60" s="258"/>
      <c r="C60" s="270"/>
      <c r="D60" s="246"/>
      <c r="E60" s="248"/>
      <c r="F60" s="284"/>
      <c r="G60" s="284"/>
      <c r="H60" s="160" t="s">
        <v>259</v>
      </c>
      <c r="I60" s="344"/>
      <c r="J60" s="344"/>
      <c r="K60" s="344"/>
      <c r="L60" s="339" t="s">
        <v>258</v>
      </c>
      <c r="M60" s="341"/>
      <c r="N60" s="350" t="s">
        <v>160</v>
      </c>
      <c r="O60" s="351"/>
      <c r="P60" s="99"/>
      <c r="Q60" s="100"/>
      <c r="R60" s="132"/>
      <c r="S60" s="132"/>
      <c r="T60" s="336"/>
      <c r="U60" s="337"/>
      <c r="V60" s="337"/>
      <c r="W60" s="337"/>
      <c r="X60" s="338"/>
      <c r="Y60" s="183"/>
      <c r="Z60" s="183"/>
      <c r="AA60" s="183"/>
      <c r="AB60" s="120"/>
      <c r="AC60" s="120"/>
      <c r="AD60" s="120"/>
      <c r="AE60" s="120"/>
      <c r="AF60" s="120"/>
      <c r="AG60" s="77"/>
    </row>
    <row r="61" spans="1:33" ht="14.4" customHeight="1" x14ac:dyDescent="0.25">
      <c r="A61" s="120"/>
      <c r="B61" s="258"/>
      <c r="C61" s="270"/>
      <c r="D61" s="284" t="s">
        <v>216</v>
      </c>
      <c r="E61" s="284"/>
      <c r="F61" s="244" t="s">
        <v>210</v>
      </c>
      <c r="G61" s="245"/>
      <c r="H61" s="160" t="s">
        <v>260</v>
      </c>
      <c r="I61" s="344" t="s">
        <v>256</v>
      </c>
      <c r="J61" s="344"/>
      <c r="K61" s="344"/>
      <c r="L61" s="339" t="s">
        <v>257</v>
      </c>
      <c r="M61" s="341"/>
      <c r="N61" s="285" t="s">
        <v>160</v>
      </c>
      <c r="O61" s="286"/>
      <c r="P61" s="99"/>
      <c r="Q61" s="100"/>
      <c r="R61" s="132"/>
      <c r="S61" s="132"/>
      <c r="T61" s="336"/>
      <c r="U61" s="337"/>
      <c r="V61" s="337"/>
      <c r="W61" s="337"/>
      <c r="X61" s="338"/>
      <c r="Y61" s="183"/>
      <c r="Z61" s="183"/>
      <c r="AA61" s="183"/>
      <c r="AB61" s="120"/>
      <c r="AC61" s="120"/>
      <c r="AD61" s="120"/>
      <c r="AE61" s="120"/>
      <c r="AF61" s="120"/>
      <c r="AG61" s="77"/>
    </row>
    <row r="62" spans="1:33" ht="14.4" customHeight="1" x14ac:dyDescent="0.25">
      <c r="A62" s="120"/>
      <c r="B62" s="258"/>
      <c r="C62" s="270"/>
      <c r="D62" s="284"/>
      <c r="E62" s="284"/>
      <c r="F62" s="314"/>
      <c r="G62" s="315"/>
      <c r="H62" s="160" t="s">
        <v>261</v>
      </c>
      <c r="I62" s="344"/>
      <c r="J62" s="344"/>
      <c r="K62" s="344"/>
      <c r="L62" s="339" t="s">
        <v>258</v>
      </c>
      <c r="M62" s="341"/>
      <c r="N62" s="350" t="s">
        <v>160</v>
      </c>
      <c r="O62" s="351"/>
      <c r="P62" s="99"/>
      <c r="Q62" s="100"/>
      <c r="R62" s="132"/>
      <c r="S62" s="132"/>
      <c r="T62" s="336"/>
      <c r="U62" s="337"/>
      <c r="V62" s="337"/>
      <c r="W62" s="337"/>
      <c r="X62" s="338"/>
      <c r="Y62" s="183"/>
      <c r="Z62" s="183"/>
      <c r="AA62" s="183"/>
      <c r="AB62" s="120"/>
      <c r="AC62" s="120"/>
      <c r="AD62" s="120"/>
      <c r="AE62" s="120"/>
      <c r="AF62" s="120"/>
      <c r="AG62" s="77"/>
    </row>
    <row r="63" spans="1:33" ht="14.4" customHeight="1" x14ac:dyDescent="0.25">
      <c r="A63" s="120"/>
      <c r="B63" s="258"/>
      <c r="C63" s="270"/>
      <c r="D63" s="284"/>
      <c r="E63" s="284"/>
      <c r="F63" s="346" t="s">
        <v>237</v>
      </c>
      <c r="G63" s="347"/>
      <c r="H63" s="185" t="s">
        <v>262</v>
      </c>
      <c r="I63" s="345" t="s">
        <v>256</v>
      </c>
      <c r="J63" s="345"/>
      <c r="K63" s="345"/>
      <c r="L63" s="342" t="s">
        <v>257</v>
      </c>
      <c r="M63" s="343"/>
      <c r="N63" s="352" t="s">
        <v>160</v>
      </c>
      <c r="O63" s="353"/>
      <c r="P63" s="99"/>
      <c r="Q63" s="100"/>
      <c r="R63" s="132"/>
      <c r="S63" s="132"/>
      <c r="T63" s="336"/>
      <c r="U63" s="337"/>
      <c r="V63" s="337"/>
      <c r="W63" s="337"/>
      <c r="X63" s="338"/>
      <c r="Y63" s="183"/>
      <c r="Z63" s="183"/>
      <c r="AA63" s="183"/>
      <c r="AB63" s="120"/>
      <c r="AC63" s="120"/>
      <c r="AD63" s="120"/>
      <c r="AE63" s="120"/>
      <c r="AF63" s="120"/>
      <c r="AG63" s="77"/>
    </row>
    <row r="64" spans="1:33" ht="14.4" customHeight="1" x14ac:dyDescent="0.25">
      <c r="A64" s="120"/>
      <c r="B64" s="258"/>
      <c r="C64" s="270"/>
      <c r="D64" s="284"/>
      <c r="E64" s="284"/>
      <c r="F64" s="348"/>
      <c r="G64" s="349"/>
      <c r="H64" s="185" t="s">
        <v>263</v>
      </c>
      <c r="I64" s="345"/>
      <c r="J64" s="345"/>
      <c r="K64" s="345"/>
      <c r="L64" s="342" t="s">
        <v>258</v>
      </c>
      <c r="M64" s="343"/>
      <c r="N64" s="354" t="s">
        <v>160</v>
      </c>
      <c r="O64" s="355"/>
      <c r="P64" s="99"/>
      <c r="Q64" s="100"/>
      <c r="R64" s="132"/>
      <c r="S64" s="132"/>
      <c r="T64" s="336"/>
      <c r="U64" s="337"/>
      <c r="V64" s="337"/>
      <c r="W64" s="337"/>
      <c r="X64" s="338"/>
      <c r="Y64" s="183"/>
      <c r="Z64" s="183"/>
      <c r="AA64" s="183"/>
      <c r="AB64" s="120"/>
      <c r="AC64" s="120"/>
      <c r="AD64" s="120"/>
      <c r="AE64" s="120"/>
      <c r="AF64" s="120"/>
      <c r="AG64" s="77"/>
    </row>
    <row r="65" spans="1:33" ht="14.4" customHeight="1" x14ac:dyDescent="0.25">
      <c r="A65" s="120"/>
      <c r="B65" s="258"/>
      <c r="C65" s="270"/>
      <c r="D65" s="356" t="s">
        <v>246</v>
      </c>
      <c r="E65" s="346"/>
      <c r="F65" s="346"/>
      <c r="G65" s="347"/>
      <c r="H65" s="185" t="s">
        <v>264</v>
      </c>
      <c r="I65" s="345" t="s">
        <v>256</v>
      </c>
      <c r="J65" s="345"/>
      <c r="K65" s="345"/>
      <c r="L65" s="342" t="s">
        <v>257</v>
      </c>
      <c r="M65" s="343"/>
      <c r="N65" s="352" t="s">
        <v>160</v>
      </c>
      <c r="O65" s="353"/>
      <c r="P65" s="99"/>
      <c r="Q65" s="100"/>
      <c r="R65" s="132"/>
      <c r="S65" s="132"/>
      <c r="T65" s="336"/>
      <c r="U65" s="337"/>
      <c r="V65" s="337"/>
      <c r="W65" s="337"/>
      <c r="X65" s="338"/>
      <c r="Y65" s="183"/>
      <c r="Z65" s="183"/>
      <c r="AA65" s="183"/>
      <c r="AB65" s="120"/>
      <c r="AC65" s="120"/>
      <c r="AD65" s="120"/>
      <c r="AE65" s="120"/>
      <c r="AF65" s="120"/>
      <c r="AG65" s="77"/>
    </row>
    <row r="66" spans="1:33" ht="14.4" customHeight="1" x14ac:dyDescent="0.25">
      <c r="A66" s="120"/>
      <c r="B66" s="287"/>
      <c r="C66" s="269"/>
      <c r="D66" s="357"/>
      <c r="E66" s="348"/>
      <c r="F66" s="348"/>
      <c r="G66" s="349"/>
      <c r="H66" s="185" t="s">
        <v>265</v>
      </c>
      <c r="I66" s="345"/>
      <c r="J66" s="345"/>
      <c r="K66" s="345"/>
      <c r="L66" s="342" t="s">
        <v>258</v>
      </c>
      <c r="M66" s="343"/>
      <c r="N66" s="354" t="s">
        <v>160</v>
      </c>
      <c r="O66" s="355"/>
      <c r="P66" s="99"/>
      <c r="Q66" s="100"/>
      <c r="R66" s="132"/>
      <c r="S66" s="132"/>
      <c r="T66" s="336"/>
      <c r="U66" s="337"/>
      <c r="V66" s="337"/>
      <c r="W66" s="337"/>
      <c r="X66" s="338"/>
      <c r="Y66" s="183"/>
      <c r="Z66" s="183"/>
      <c r="AA66" s="183"/>
      <c r="AB66" s="120"/>
      <c r="AC66" s="120"/>
      <c r="AD66" s="120"/>
      <c r="AE66" s="120"/>
      <c r="AF66" s="120"/>
      <c r="AG66" s="77"/>
    </row>
    <row r="67" spans="1:33" ht="12" x14ac:dyDescent="0.25">
      <c r="A67" s="301"/>
      <c r="B67" s="301"/>
      <c r="C67" s="301"/>
      <c r="D67" s="120"/>
      <c r="E67" s="120"/>
      <c r="F67" s="120"/>
      <c r="G67" s="120"/>
      <c r="H67" s="124"/>
      <c r="I67" s="120"/>
      <c r="J67" s="302"/>
      <c r="K67" s="302"/>
      <c r="L67" s="303"/>
      <c r="M67" s="303"/>
      <c r="N67" s="303"/>
      <c r="O67" s="120"/>
      <c r="P67" s="125"/>
      <c r="Q67" s="126"/>
      <c r="R67" s="126"/>
      <c r="S67" s="126"/>
      <c r="T67" s="126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77"/>
    </row>
    <row r="68" spans="1:33" ht="14.4" customHeight="1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90"/>
      <c r="K68" s="91"/>
      <c r="L68" s="91"/>
      <c r="M68" s="91"/>
      <c r="N68" s="77"/>
      <c r="O68" s="77"/>
      <c r="P68" s="86" t="s">
        <v>82</v>
      </c>
      <c r="Q68" s="107">
        <f>COUNTIF(Q29:Q60,"PASSED")</f>
        <v>0</v>
      </c>
      <c r="R68" s="112"/>
      <c r="S68" s="77"/>
      <c r="T68" s="77"/>
      <c r="U68" s="95"/>
      <c r="V68" s="95"/>
      <c r="W68" s="95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33" ht="14.4" customHeight="1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90"/>
      <c r="K69" s="91"/>
      <c r="L69" s="91"/>
      <c r="M69" s="91"/>
      <c r="N69" s="77"/>
      <c r="O69" s="77"/>
      <c r="P69" s="86" t="s">
        <v>83</v>
      </c>
      <c r="Q69" s="108">
        <f>COUNTIF(Q29:Q60, "PASSED WITH CONDITION")</f>
        <v>0</v>
      </c>
      <c r="R69" s="112"/>
      <c r="S69" s="77"/>
      <c r="T69" s="77"/>
      <c r="U69" s="95"/>
      <c r="V69" s="95"/>
      <c r="W69" s="95"/>
      <c r="X69" s="77"/>
      <c r="Y69" s="77"/>
      <c r="Z69" s="77"/>
      <c r="AA69" s="77"/>
      <c r="AB69" s="77"/>
      <c r="AC69" s="77"/>
      <c r="AD69" s="77"/>
      <c r="AE69" s="77"/>
      <c r="AF69" s="77"/>
      <c r="AG69" s="77"/>
    </row>
    <row r="70" spans="1:33" ht="14.4" customHeight="1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90"/>
      <c r="K70" s="91"/>
      <c r="L70" s="91"/>
      <c r="M70" s="91"/>
      <c r="N70" s="77"/>
      <c r="O70" s="77"/>
      <c r="P70" s="86" t="s">
        <v>84</v>
      </c>
      <c r="Q70" s="109">
        <f>COUNTIF(Q29:Q60,"FAILED")</f>
        <v>0</v>
      </c>
      <c r="R70" s="112"/>
      <c r="S70" s="77"/>
      <c r="T70" s="77"/>
      <c r="U70" s="95"/>
      <c r="V70" s="95"/>
      <c r="W70" s="95"/>
      <c r="X70" s="77"/>
      <c r="Y70" s="77"/>
      <c r="Z70" s="77"/>
      <c r="AA70" s="77"/>
      <c r="AB70" s="77"/>
      <c r="AC70" s="77"/>
      <c r="AD70" s="77"/>
      <c r="AE70" s="77"/>
      <c r="AF70" s="77"/>
      <c r="AG70" s="77"/>
    </row>
    <row r="71" spans="1:33" ht="14.4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90"/>
      <c r="K71" s="91"/>
      <c r="L71" s="91"/>
      <c r="M71" s="91"/>
      <c r="N71" s="77"/>
      <c r="O71" s="77"/>
      <c r="P71" s="86" t="s">
        <v>85</v>
      </c>
      <c r="Q71" s="110">
        <f>COUNTIF(Q29:Q60,"N/A")</f>
        <v>0</v>
      </c>
      <c r="R71" s="112"/>
      <c r="S71" s="77"/>
      <c r="T71" s="77"/>
      <c r="U71" s="95"/>
      <c r="V71" s="95"/>
      <c r="W71" s="95"/>
      <c r="X71" s="77"/>
      <c r="Y71" s="77"/>
      <c r="Z71" s="77"/>
      <c r="AA71" s="77"/>
      <c r="AB71" s="77"/>
      <c r="AC71" s="77"/>
      <c r="AD71" s="77"/>
      <c r="AE71" s="77"/>
      <c r="AF71" s="77"/>
      <c r="AG71" s="77"/>
    </row>
    <row r="72" spans="1:33" ht="14.4" customHeight="1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90"/>
      <c r="K72" s="91"/>
      <c r="L72" s="91"/>
      <c r="M72" s="91"/>
      <c r="N72" s="77"/>
      <c r="O72" s="77"/>
      <c r="P72" s="77"/>
      <c r="Q72" s="95"/>
      <c r="R72" s="95"/>
      <c r="S72" s="77"/>
      <c r="T72" s="77"/>
      <c r="U72" s="95"/>
      <c r="V72" s="95"/>
      <c r="W72" s="95"/>
      <c r="X72" s="77"/>
      <c r="Y72" s="77"/>
      <c r="Z72" s="77"/>
      <c r="AA72" s="77"/>
      <c r="AB72" s="77"/>
      <c r="AC72" s="77"/>
      <c r="AD72" s="77"/>
      <c r="AE72" s="77"/>
      <c r="AF72" s="77"/>
      <c r="AG72" s="77"/>
    </row>
    <row r="73" spans="1:33" ht="14.4" customHeight="1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90"/>
      <c r="K73" s="91"/>
      <c r="L73" s="91"/>
      <c r="M73" s="91"/>
      <c r="N73" s="77"/>
      <c r="O73" s="77"/>
      <c r="P73" s="77"/>
      <c r="Q73" s="95"/>
      <c r="R73" s="95"/>
      <c r="S73" s="77"/>
      <c r="T73" s="77"/>
      <c r="U73" s="95"/>
      <c r="V73" s="95"/>
      <c r="W73" s="95"/>
      <c r="X73" s="77"/>
      <c r="Y73" s="77"/>
      <c r="Z73" s="77"/>
      <c r="AA73" s="77"/>
      <c r="AB73" s="77"/>
      <c r="AC73" s="77"/>
      <c r="AD73" s="77"/>
      <c r="AE73" s="77"/>
      <c r="AF73" s="77"/>
      <c r="AG73" s="77"/>
    </row>
    <row r="74" spans="1:33" ht="14.4" customHeight="1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90"/>
      <c r="K74" s="91"/>
      <c r="L74" s="91"/>
      <c r="M74" s="91"/>
      <c r="N74" s="77"/>
      <c r="O74" s="77"/>
      <c r="P74" s="77"/>
      <c r="Q74" s="77"/>
      <c r="R74" s="77"/>
      <c r="S74" s="77"/>
      <c r="T74" s="77"/>
      <c r="U74" s="95"/>
      <c r="V74" s="95"/>
      <c r="W74" s="95"/>
      <c r="X74" s="77"/>
      <c r="Y74" s="77"/>
      <c r="Z74" s="77"/>
      <c r="AA74" s="77"/>
      <c r="AB74" s="77"/>
      <c r="AC74" s="77"/>
      <c r="AD74" s="77"/>
      <c r="AE74" s="77"/>
      <c r="AF74" s="77"/>
      <c r="AG74" s="77"/>
    </row>
    <row r="75" spans="1:33" ht="14.4" customHeight="1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90"/>
      <c r="K75" s="91"/>
      <c r="L75" s="91"/>
      <c r="M75" s="91"/>
      <c r="N75" s="77"/>
      <c r="O75" s="77"/>
      <c r="P75" s="77"/>
      <c r="Q75" s="77"/>
      <c r="R75" s="77"/>
      <c r="S75" s="77"/>
      <c r="T75" s="77"/>
      <c r="U75" s="95"/>
      <c r="V75" s="95"/>
      <c r="W75" s="95"/>
      <c r="X75" s="77"/>
      <c r="Y75" s="77"/>
      <c r="Z75" s="77"/>
      <c r="AA75" s="77"/>
      <c r="AB75" s="77"/>
      <c r="AC75" s="77"/>
      <c r="AD75" s="77"/>
      <c r="AE75" s="77"/>
      <c r="AF75" s="77"/>
      <c r="AG75" s="77"/>
    </row>
    <row r="76" spans="1:33" ht="14.4" customHeight="1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90"/>
      <c r="K76" s="91"/>
      <c r="L76" s="91"/>
      <c r="M76" s="91"/>
      <c r="N76" s="77"/>
      <c r="O76" s="77"/>
      <c r="P76" s="77"/>
      <c r="Q76" s="77"/>
      <c r="R76" s="77"/>
      <c r="S76" s="77"/>
      <c r="T76" s="77"/>
      <c r="U76" s="95"/>
      <c r="V76" s="95"/>
      <c r="W76" s="95"/>
      <c r="X76" s="77"/>
      <c r="Y76" s="77"/>
      <c r="Z76" s="77"/>
      <c r="AA76" s="77"/>
      <c r="AB76" s="77"/>
      <c r="AC76" s="77"/>
      <c r="AD76" s="77"/>
      <c r="AE76" s="77"/>
      <c r="AF76" s="77"/>
      <c r="AG76" s="77"/>
    </row>
    <row r="77" spans="1:33" ht="14.4" customHeight="1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90"/>
      <c r="K77" s="91"/>
      <c r="L77" s="91"/>
      <c r="M77" s="91"/>
      <c r="N77" s="77"/>
      <c r="O77" s="77"/>
      <c r="P77" s="77"/>
      <c r="Q77" s="77"/>
      <c r="R77" s="77"/>
      <c r="S77" s="77"/>
      <c r="T77" s="77"/>
      <c r="U77" s="95"/>
      <c r="V77" s="95"/>
      <c r="W77" s="95"/>
      <c r="X77" s="77"/>
      <c r="Y77" s="77"/>
      <c r="Z77" s="77"/>
      <c r="AA77" s="77"/>
      <c r="AB77" s="77"/>
      <c r="AC77" s="77"/>
      <c r="AD77" s="77"/>
      <c r="AE77" s="77"/>
      <c r="AF77" s="77"/>
      <c r="AG77" s="77"/>
    </row>
    <row r="78" spans="1:33" ht="14.4" customHeight="1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90"/>
      <c r="K78" s="91"/>
      <c r="L78" s="91"/>
      <c r="M78" s="91"/>
      <c r="N78" s="77"/>
      <c r="O78" s="77"/>
      <c r="P78" s="77"/>
      <c r="Q78" s="77"/>
      <c r="R78" s="77"/>
      <c r="S78" s="77"/>
      <c r="T78" s="77"/>
      <c r="U78" s="95"/>
      <c r="V78" s="95"/>
      <c r="W78" s="95"/>
      <c r="X78" s="77"/>
      <c r="Y78" s="77"/>
      <c r="Z78" s="77"/>
      <c r="AA78" s="77"/>
      <c r="AB78" s="77"/>
      <c r="AC78" s="77"/>
      <c r="AD78" s="77"/>
      <c r="AE78" s="77"/>
      <c r="AF78" s="77"/>
      <c r="AG78" s="77"/>
    </row>
    <row r="79" spans="1:33" ht="14.4" customHeigh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90"/>
      <c r="K79" s="91"/>
      <c r="L79" s="91"/>
      <c r="M79" s="91"/>
      <c r="N79" s="77"/>
      <c r="O79" s="77"/>
      <c r="P79" s="77"/>
      <c r="Q79" s="77"/>
      <c r="R79" s="77"/>
      <c r="S79" s="77"/>
      <c r="T79" s="77"/>
      <c r="U79" s="95"/>
      <c r="V79" s="95"/>
      <c r="W79" s="95"/>
      <c r="X79" s="77"/>
      <c r="Y79" s="77"/>
      <c r="Z79" s="77"/>
      <c r="AA79" s="77"/>
      <c r="AB79" s="77"/>
      <c r="AC79" s="77"/>
      <c r="AD79" s="77"/>
      <c r="AE79" s="77"/>
      <c r="AF79" s="77"/>
      <c r="AG79" s="77"/>
    </row>
    <row r="80" spans="1:33" ht="14.4" customHeight="1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90"/>
      <c r="K80" s="91"/>
      <c r="L80" s="91"/>
      <c r="M80" s="91"/>
      <c r="N80" s="77"/>
      <c r="O80" s="77"/>
      <c r="P80" s="77"/>
      <c r="Q80" s="77"/>
      <c r="R80" s="77"/>
      <c r="S80" s="77"/>
      <c r="T80" s="77"/>
      <c r="U80" s="95"/>
      <c r="V80" s="95"/>
      <c r="W80" s="95"/>
      <c r="X80" s="77"/>
      <c r="Y80" s="77"/>
      <c r="Z80" s="77"/>
      <c r="AA80" s="77"/>
      <c r="AB80" s="77"/>
      <c r="AC80" s="77"/>
      <c r="AD80" s="77"/>
      <c r="AE80" s="77"/>
      <c r="AF80" s="77"/>
      <c r="AG80" s="77"/>
    </row>
    <row r="81" spans="1:33" ht="14.4" customHeight="1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90"/>
      <c r="K81" s="91"/>
      <c r="L81" s="91"/>
      <c r="M81" s="91"/>
      <c r="N81" s="77"/>
      <c r="O81" s="77"/>
      <c r="P81" s="77"/>
      <c r="Q81" s="77"/>
      <c r="R81" s="77"/>
      <c r="S81" s="77"/>
      <c r="T81" s="77"/>
      <c r="U81" s="95"/>
      <c r="V81" s="95"/>
      <c r="W81" s="95"/>
      <c r="X81" s="77"/>
      <c r="Y81" s="77"/>
      <c r="Z81" s="77"/>
      <c r="AA81" s="77"/>
      <c r="AB81" s="77"/>
      <c r="AC81" s="77"/>
      <c r="AD81" s="77"/>
      <c r="AE81" s="77"/>
      <c r="AF81" s="77"/>
      <c r="AG81" s="77"/>
    </row>
    <row r="82" spans="1:33" ht="14.4" customHeight="1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90"/>
      <c r="K82" s="91"/>
      <c r="L82" s="91"/>
      <c r="M82" s="91"/>
      <c r="N82" s="77"/>
      <c r="O82" s="77"/>
      <c r="P82" s="77"/>
      <c r="Q82" s="77"/>
      <c r="R82" s="77"/>
      <c r="S82" s="77"/>
      <c r="T82" s="77"/>
      <c r="U82" s="95"/>
      <c r="V82" s="95"/>
      <c r="W82" s="95"/>
      <c r="X82" s="77"/>
      <c r="Y82" s="77"/>
      <c r="Z82" s="77"/>
      <c r="AA82" s="77"/>
      <c r="AB82" s="77"/>
      <c r="AC82" s="77"/>
      <c r="AD82" s="77"/>
      <c r="AE82" s="77"/>
      <c r="AF82" s="77"/>
      <c r="AG82" s="77"/>
    </row>
    <row r="83" spans="1:33" ht="14.4" customHeight="1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90"/>
      <c r="K83" s="91"/>
      <c r="L83" s="91"/>
      <c r="M83" s="91"/>
      <c r="N83" s="77"/>
      <c r="O83" s="77"/>
      <c r="P83" s="77"/>
      <c r="Q83" s="77"/>
      <c r="R83" s="77"/>
      <c r="S83" s="77"/>
      <c r="T83" s="77"/>
      <c r="U83" s="95"/>
      <c r="V83" s="95"/>
      <c r="W83" s="95"/>
      <c r="X83" s="77"/>
      <c r="Y83" s="77"/>
      <c r="Z83" s="77"/>
      <c r="AA83" s="77"/>
      <c r="AB83" s="77"/>
      <c r="AC83" s="77"/>
      <c r="AD83" s="77"/>
      <c r="AE83" s="77"/>
      <c r="AF83" s="77"/>
      <c r="AG83" s="77"/>
    </row>
    <row r="84" spans="1:33" ht="14.4" customHeight="1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90"/>
      <c r="K84" s="91"/>
      <c r="L84" s="91"/>
      <c r="M84" s="91"/>
      <c r="N84" s="77"/>
      <c r="O84" s="77"/>
      <c r="P84" s="77"/>
      <c r="Q84" s="77"/>
      <c r="R84" s="77"/>
      <c r="S84" s="77"/>
      <c r="T84" s="77"/>
      <c r="U84" s="95"/>
      <c r="V84" s="95"/>
      <c r="W84" s="95"/>
      <c r="X84" s="77"/>
      <c r="Y84" s="77"/>
      <c r="Z84" s="77"/>
      <c r="AA84" s="77"/>
      <c r="AB84" s="77"/>
      <c r="AC84" s="77"/>
      <c r="AD84" s="77"/>
      <c r="AE84" s="77"/>
      <c r="AF84" s="77"/>
      <c r="AG84" s="77"/>
    </row>
    <row r="85" spans="1:33" ht="14.4" customHeight="1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90"/>
      <c r="K85" s="91"/>
      <c r="L85" s="91"/>
      <c r="M85" s="91"/>
      <c r="N85" s="77"/>
      <c r="O85" s="77"/>
      <c r="P85" s="77"/>
      <c r="Q85" s="77"/>
      <c r="R85" s="77"/>
      <c r="S85" s="77"/>
      <c r="T85" s="77"/>
      <c r="U85" s="95"/>
      <c r="V85" s="95"/>
      <c r="W85" s="95"/>
      <c r="X85" s="77"/>
      <c r="Y85" s="77"/>
      <c r="Z85" s="77"/>
      <c r="AA85" s="77"/>
      <c r="AB85" s="77"/>
      <c r="AC85" s="77"/>
      <c r="AD85" s="77"/>
      <c r="AE85" s="77"/>
      <c r="AF85" s="77"/>
      <c r="AG85" s="77"/>
    </row>
    <row r="86" spans="1:33" ht="14.4" customHeight="1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90"/>
      <c r="K86" s="91"/>
      <c r="L86" s="91"/>
      <c r="M86" s="91"/>
      <c r="N86" s="77"/>
      <c r="O86" s="77"/>
      <c r="P86" s="77"/>
      <c r="Q86" s="77"/>
      <c r="R86" s="77"/>
      <c r="S86" s="77"/>
      <c r="T86" s="77"/>
      <c r="U86" s="95"/>
      <c r="V86" s="95"/>
      <c r="W86" s="95"/>
      <c r="X86" s="77"/>
      <c r="Y86" s="77"/>
      <c r="Z86" s="77"/>
      <c r="AA86" s="77"/>
      <c r="AB86" s="77"/>
      <c r="AC86" s="77"/>
      <c r="AD86" s="77"/>
      <c r="AE86" s="77"/>
      <c r="AF86" s="77"/>
      <c r="AG86" s="77"/>
    </row>
    <row r="87" spans="1:33" ht="14.4" customHeight="1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90"/>
      <c r="K87" s="91"/>
      <c r="L87" s="91"/>
      <c r="M87" s="91"/>
      <c r="N87" s="77"/>
      <c r="O87" s="77"/>
      <c r="P87" s="77"/>
      <c r="Q87" s="77"/>
      <c r="R87" s="77"/>
      <c r="S87" s="77"/>
      <c r="T87" s="77"/>
      <c r="U87" s="95"/>
      <c r="V87" s="95"/>
      <c r="W87" s="95"/>
      <c r="X87" s="77"/>
      <c r="Y87" s="77"/>
      <c r="Z87" s="77"/>
      <c r="AA87" s="77"/>
      <c r="AB87" s="77"/>
      <c r="AC87" s="77"/>
      <c r="AD87" s="77"/>
      <c r="AE87" s="77"/>
      <c r="AF87" s="77"/>
      <c r="AG87" s="77"/>
    </row>
    <row r="88" spans="1:33" ht="14.4" customHeight="1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90"/>
      <c r="K88" s="91"/>
      <c r="L88" s="91"/>
      <c r="M88" s="91"/>
      <c r="N88" s="77"/>
      <c r="O88" s="77"/>
      <c r="P88" s="77"/>
      <c r="Q88" s="77"/>
      <c r="R88" s="77"/>
      <c r="S88" s="77"/>
      <c r="T88" s="77"/>
      <c r="U88" s="95"/>
      <c r="V88" s="95"/>
      <c r="W88" s="95"/>
      <c r="X88" s="77"/>
      <c r="Y88" s="77"/>
      <c r="Z88" s="77"/>
      <c r="AA88" s="77"/>
      <c r="AB88" s="77"/>
      <c r="AC88" s="77"/>
      <c r="AD88" s="77"/>
      <c r="AE88" s="77"/>
      <c r="AF88" s="77"/>
      <c r="AG88" s="77"/>
    </row>
    <row r="89" spans="1:33" ht="14.4" customHeight="1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90"/>
      <c r="K89" s="91"/>
      <c r="L89" s="91"/>
      <c r="M89" s="91"/>
      <c r="N89" s="77"/>
      <c r="O89" s="77"/>
      <c r="P89" s="77"/>
      <c r="Q89" s="77"/>
      <c r="R89" s="77"/>
      <c r="S89" s="77"/>
      <c r="T89" s="77"/>
      <c r="U89" s="95"/>
      <c r="V89" s="95"/>
      <c r="W89" s="95"/>
      <c r="X89" s="77"/>
      <c r="Y89" s="77"/>
      <c r="Z89" s="77"/>
      <c r="AA89" s="77"/>
      <c r="AB89" s="77"/>
      <c r="AC89" s="77"/>
      <c r="AD89" s="77"/>
      <c r="AE89" s="77"/>
      <c r="AF89" s="77"/>
      <c r="AG89" s="77"/>
    </row>
    <row r="90" spans="1:33" ht="14.4" customHeight="1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90"/>
      <c r="K90" s="91"/>
      <c r="L90" s="91"/>
      <c r="M90" s="91"/>
      <c r="N90" s="77"/>
      <c r="O90" s="77"/>
      <c r="P90" s="77"/>
      <c r="Q90" s="77"/>
      <c r="R90" s="77"/>
      <c r="S90" s="77"/>
      <c r="T90" s="77"/>
      <c r="U90" s="95"/>
      <c r="V90" s="95"/>
      <c r="W90" s="95"/>
      <c r="X90" s="77"/>
      <c r="Y90" s="77"/>
      <c r="Z90" s="77"/>
      <c r="AA90" s="77"/>
      <c r="AB90" s="77"/>
      <c r="AC90" s="77"/>
      <c r="AD90" s="77"/>
      <c r="AE90" s="77"/>
      <c r="AF90" s="77"/>
      <c r="AG90" s="77"/>
    </row>
    <row r="91" spans="1:33" ht="14.4" customHeight="1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90"/>
      <c r="K91" s="91"/>
      <c r="L91" s="91"/>
      <c r="M91" s="91"/>
      <c r="N91" s="77"/>
      <c r="O91" s="77"/>
      <c r="P91" s="77"/>
      <c r="Q91" s="77"/>
      <c r="R91" s="77"/>
      <c r="S91" s="77"/>
      <c r="T91" s="77"/>
      <c r="U91" s="95"/>
      <c r="V91" s="95"/>
      <c r="W91" s="95"/>
      <c r="X91" s="77"/>
      <c r="Y91" s="77"/>
      <c r="Z91" s="77"/>
      <c r="AA91" s="77"/>
      <c r="AB91" s="77"/>
      <c r="AC91" s="77"/>
      <c r="AD91" s="77"/>
      <c r="AE91" s="77"/>
      <c r="AF91" s="77"/>
      <c r="AG91" s="77"/>
    </row>
    <row r="92" spans="1:33" ht="14.4" customHeight="1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90"/>
      <c r="K92" s="91"/>
      <c r="L92" s="91"/>
      <c r="M92" s="91"/>
      <c r="N92" s="77"/>
      <c r="O92" s="77"/>
      <c r="P92" s="77"/>
      <c r="Q92" s="77"/>
      <c r="R92" s="77"/>
      <c r="S92" s="77"/>
      <c r="T92" s="77"/>
      <c r="U92" s="95"/>
      <c r="V92" s="95"/>
      <c r="W92" s="95"/>
      <c r="X92" s="77"/>
      <c r="Y92" s="77"/>
      <c r="Z92" s="77"/>
      <c r="AA92" s="77"/>
      <c r="AB92" s="77"/>
      <c r="AC92" s="77"/>
      <c r="AD92" s="77"/>
      <c r="AE92" s="77"/>
      <c r="AF92" s="77"/>
      <c r="AG92" s="77"/>
    </row>
    <row r="93" spans="1:33" ht="14.4" customHeight="1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90"/>
      <c r="K93" s="91"/>
      <c r="L93" s="91"/>
      <c r="M93" s="91"/>
      <c r="N93" s="77"/>
      <c r="O93" s="77"/>
      <c r="P93" s="77"/>
      <c r="Q93" s="77"/>
      <c r="R93" s="77"/>
      <c r="S93" s="77"/>
      <c r="T93" s="77"/>
      <c r="U93" s="95"/>
      <c r="V93" s="95"/>
      <c r="W93" s="95"/>
      <c r="X93" s="77"/>
      <c r="Y93" s="77"/>
      <c r="Z93" s="77"/>
      <c r="AA93" s="77"/>
      <c r="AB93" s="77"/>
      <c r="AC93" s="77"/>
      <c r="AD93" s="77"/>
      <c r="AE93" s="77"/>
      <c r="AF93" s="77"/>
      <c r="AG93" s="77"/>
    </row>
    <row r="94" spans="1:33" ht="14.4" customHeight="1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90"/>
      <c r="K94" s="91"/>
      <c r="L94" s="91"/>
      <c r="M94" s="91"/>
      <c r="N94" s="77"/>
      <c r="O94" s="77"/>
      <c r="P94" s="77"/>
      <c r="Q94" s="77"/>
      <c r="R94" s="77"/>
      <c r="S94" s="77"/>
      <c r="T94" s="77"/>
      <c r="U94" s="95"/>
      <c r="V94" s="95"/>
      <c r="W94" s="95"/>
      <c r="X94" s="77"/>
      <c r="Y94" s="77"/>
      <c r="Z94" s="77"/>
      <c r="AA94" s="77"/>
      <c r="AB94" s="77"/>
      <c r="AC94" s="77"/>
      <c r="AD94" s="77"/>
      <c r="AE94" s="77"/>
      <c r="AF94" s="77"/>
      <c r="AG94" s="77"/>
    </row>
    <row r="95" spans="1:33" ht="14.4" customHeight="1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90"/>
      <c r="K95" s="91"/>
      <c r="L95" s="91"/>
      <c r="M95" s="91"/>
      <c r="N95" s="77"/>
      <c r="O95" s="77"/>
      <c r="P95" s="77"/>
      <c r="Q95" s="77"/>
      <c r="R95" s="77"/>
      <c r="S95" s="77"/>
      <c r="T95" s="77"/>
      <c r="U95" s="95"/>
      <c r="V95" s="95"/>
      <c r="W95" s="95"/>
      <c r="X95" s="77"/>
      <c r="Y95" s="77"/>
      <c r="Z95" s="77"/>
      <c r="AA95" s="77"/>
      <c r="AB95" s="77"/>
      <c r="AC95" s="77"/>
      <c r="AD95" s="77"/>
      <c r="AE95" s="77"/>
      <c r="AF95" s="77"/>
      <c r="AG95" s="77"/>
    </row>
    <row r="96" spans="1:33" ht="14.4" customHeigh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90"/>
      <c r="K96" s="91"/>
      <c r="L96" s="91"/>
      <c r="M96" s="91"/>
      <c r="N96" s="77"/>
      <c r="O96" s="77"/>
      <c r="P96" s="77"/>
      <c r="Q96" s="77"/>
      <c r="R96" s="77"/>
      <c r="S96" s="77"/>
      <c r="T96" s="77"/>
      <c r="U96" s="95"/>
      <c r="V96" s="95"/>
      <c r="W96" s="95"/>
      <c r="X96" s="77"/>
      <c r="Y96" s="77"/>
      <c r="Z96" s="77"/>
      <c r="AA96" s="77"/>
      <c r="AB96" s="77"/>
      <c r="AC96" s="77"/>
      <c r="AD96" s="77"/>
      <c r="AE96" s="77"/>
      <c r="AF96" s="77"/>
      <c r="AG96" s="77"/>
    </row>
    <row r="97" spans="1:33" ht="14.4" customHeight="1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90"/>
      <c r="K97" s="91"/>
      <c r="L97" s="91"/>
      <c r="M97" s="91"/>
      <c r="N97" s="77"/>
      <c r="O97" s="77"/>
      <c r="P97" s="77"/>
      <c r="Q97" s="77"/>
      <c r="R97" s="77"/>
      <c r="S97" s="77"/>
      <c r="T97" s="77"/>
      <c r="U97" s="95"/>
      <c r="V97" s="95"/>
      <c r="W97" s="95"/>
      <c r="X97" s="77"/>
      <c r="Y97" s="77"/>
      <c r="Z97" s="77"/>
      <c r="AA97" s="77"/>
      <c r="AB97" s="77"/>
      <c r="AC97" s="77"/>
      <c r="AD97" s="77"/>
      <c r="AE97" s="77"/>
      <c r="AF97" s="77"/>
      <c r="AG97" s="77"/>
    </row>
    <row r="98" spans="1:33" ht="14.4" customHeight="1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90"/>
      <c r="K98" s="91"/>
      <c r="L98" s="91"/>
      <c r="M98" s="91"/>
      <c r="N98" s="77"/>
      <c r="O98" s="77"/>
      <c r="P98" s="77"/>
      <c r="Q98" s="77"/>
      <c r="R98" s="77"/>
      <c r="S98" s="77"/>
      <c r="T98" s="77"/>
      <c r="U98" s="95"/>
      <c r="V98" s="95"/>
      <c r="W98" s="95"/>
      <c r="X98" s="77"/>
      <c r="Y98" s="77"/>
      <c r="Z98" s="77"/>
      <c r="AA98" s="77"/>
      <c r="AB98" s="77"/>
      <c r="AC98" s="77"/>
      <c r="AD98" s="77"/>
      <c r="AE98" s="77"/>
      <c r="AF98" s="77"/>
      <c r="AG98" s="77"/>
    </row>
    <row r="99" spans="1:33" ht="14.4" customHeight="1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90"/>
      <c r="K99" s="91"/>
      <c r="L99" s="91"/>
      <c r="M99" s="91"/>
      <c r="N99" s="77"/>
      <c r="O99" s="77"/>
      <c r="P99" s="77"/>
      <c r="Q99" s="77"/>
      <c r="R99" s="77"/>
      <c r="S99" s="77"/>
      <c r="T99" s="77"/>
      <c r="U99" s="95"/>
      <c r="V99" s="95"/>
      <c r="W99" s="95"/>
      <c r="X99" s="77"/>
      <c r="Y99" s="77"/>
      <c r="Z99" s="77"/>
      <c r="AA99" s="77"/>
      <c r="AB99" s="77"/>
      <c r="AC99" s="77"/>
      <c r="AD99" s="77"/>
      <c r="AE99" s="77"/>
      <c r="AF99" s="77"/>
      <c r="AG99" s="77"/>
    </row>
    <row r="100" spans="1:33" ht="14.4" customHeight="1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90"/>
      <c r="K100" s="91"/>
      <c r="L100" s="91"/>
      <c r="M100" s="91"/>
      <c r="N100" s="77"/>
      <c r="O100" s="77"/>
      <c r="P100" s="77"/>
      <c r="Q100" s="77"/>
      <c r="R100" s="77"/>
      <c r="S100" s="77"/>
      <c r="T100" s="77"/>
      <c r="U100" s="95"/>
      <c r="V100" s="95"/>
      <c r="W100" s="95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</row>
    <row r="101" spans="1:33" ht="14.4" customHeight="1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90"/>
      <c r="K101" s="91"/>
      <c r="L101" s="91"/>
      <c r="M101" s="91"/>
      <c r="N101" s="77"/>
      <c r="O101" s="77"/>
      <c r="P101" s="77"/>
      <c r="Q101" s="77"/>
      <c r="R101" s="77"/>
      <c r="S101" s="77"/>
      <c r="T101" s="77"/>
      <c r="U101" s="95"/>
      <c r="V101" s="95"/>
      <c r="W101" s="95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</row>
    <row r="102" spans="1:33" ht="14.4" customHeight="1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90"/>
      <c r="K102" s="91"/>
      <c r="L102" s="91"/>
      <c r="M102" s="91"/>
      <c r="N102" s="77"/>
      <c r="O102" s="77"/>
      <c r="P102" s="77"/>
      <c r="Q102" s="77"/>
      <c r="R102" s="77"/>
      <c r="S102" s="77"/>
      <c r="T102" s="77"/>
      <c r="U102" s="95"/>
      <c r="V102" s="95"/>
      <c r="W102" s="95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</row>
    <row r="103" spans="1:33" ht="14.4" customHeight="1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90"/>
      <c r="K103" s="91"/>
      <c r="L103" s="91"/>
      <c r="M103" s="91"/>
      <c r="N103" s="77"/>
      <c r="O103" s="77"/>
      <c r="P103" s="77"/>
      <c r="Q103" s="77"/>
      <c r="R103" s="77"/>
      <c r="S103" s="77"/>
      <c r="T103" s="77"/>
      <c r="U103" s="95"/>
      <c r="V103" s="95"/>
      <c r="W103" s="95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</row>
    <row r="104" spans="1:33" ht="12" customHeight="1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90"/>
      <c r="K104" s="91"/>
      <c r="L104" s="91"/>
      <c r="M104" s="91"/>
      <c r="N104" s="77"/>
      <c r="O104" s="77"/>
      <c r="P104" s="77"/>
      <c r="Q104" s="77"/>
      <c r="R104" s="77"/>
      <c r="S104" s="77"/>
      <c r="T104" s="77"/>
      <c r="U104" s="95"/>
      <c r="V104" s="95"/>
      <c r="W104" s="95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</row>
    <row r="105" spans="1:33" ht="12" customHeight="1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90"/>
      <c r="K105" s="91"/>
      <c r="L105" s="91"/>
      <c r="M105" s="91"/>
      <c r="N105" s="77"/>
      <c r="O105" s="77"/>
      <c r="P105" s="77"/>
      <c r="Q105" s="77"/>
      <c r="R105" s="77"/>
      <c r="S105" s="77"/>
      <c r="T105" s="77"/>
      <c r="U105" s="95"/>
      <c r="V105" s="95"/>
      <c r="W105" s="95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</row>
    <row r="106" spans="1:33" ht="12" customHeight="1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90"/>
      <c r="K106" s="91"/>
      <c r="L106" s="91"/>
      <c r="M106" s="91"/>
      <c r="N106" s="77"/>
      <c r="O106" s="77"/>
      <c r="P106" s="77"/>
      <c r="Q106" s="77"/>
      <c r="R106" s="77"/>
      <c r="S106" s="77"/>
      <c r="T106" s="77"/>
      <c r="U106" s="95"/>
      <c r="V106" s="95"/>
      <c r="W106" s="95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</row>
    <row r="107" spans="1:33" ht="12" customHeight="1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90"/>
      <c r="K107" s="91"/>
      <c r="L107" s="91"/>
      <c r="M107" s="91"/>
      <c r="N107" s="77"/>
      <c r="O107" s="77"/>
      <c r="P107" s="77"/>
      <c r="Q107" s="77"/>
      <c r="R107" s="77"/>
      <c r="S107" s="77"/>
      <c r="T107" s="77"/>
      <c r="U107" s="95"/>
      <c r="V107" s="95"/>
      <c r="W107" s="95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</row>
    <row r="108" spans="1:33" ht="12" customHeight="1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90"/>
      <c r="K108" s="91"/>
      <c r="L108" s="91"/>
      <c r="M108" s="91"/>
      <c r="N108" s="77"/>
      <c r="O108" s="77"/>
      <c r="P108" s="77"/>
      <c r="Q108" s="77"/>
      <c r="R108" s="77"/>
      <c r="S108" s="77"/>
      <c r="T108" s="77"/>
      <c r="U108" s="95"/>
      <c r="V108" s="95"/>
      <c r="W108" s="95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</row>
    <row r="109" spans="1:33" ht="14.4" customHeigh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90"/>
      <c r="K109" s="91"/>
      <c r="L109" s="91"/>
      <c r="M109" s="91"/>
      <c r="N109" s="77"/>
      <c r="O109" s="77"/>
      <c r="P109" s="77"/>
      <c r="Q109" s="77"/>
      <c r="R109" s="77"/>
      <c r="S109" s="77"/>
      <c r="T109" s="77"/>
      <c r="U109" s="95"/>
      <c r="V109" s="95"/>
      <c r="W109" s="95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</row>
    <row r="110" spans="1:33" ht="14.4" customHeight="1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90"/>
      <c r="K110" s="91"/>
      <c r="L110" s="91"/>
      <c r="M110" s="91"/>
      <c r="N110" s="77"/>
      <c r="O110" s="77"/>
      <c r="P110" s="77"/>
      <c r="Q110" s="77"/>
      <c r="R110" s="77"/>
      <c r="S110" s="77"/>
      <c r="T110" s="77"/>
      <c r="U110" s="95"/>
      <c r="V110" s="95"/>
      <c r="W110" s="95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</row>
    <row r="111" spans="1:33" ht="14.4" customHeight="1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90"/>
      <c r="K111" s="91"/>
      <c r="L111" s="91"/>
      <c r="M111" s="91"/>
      <c r="N111" s="77"/>
      <c r="O111" s="77"/>
      <c r="P111" s="77"/>
      <c r="Q111" s="77"/>
      <c r="R111" s="77"/>
      <c r="S111" s="77"/>
      <c r="T111" s="77"/>
      <c r="U111" s="95"/>
      <c r="V111" s="95"/>
      <c r="W111" s="95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</row>
    <row r="112" spans="1:33" ht="14.4" customHeight="1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90"/>
      <c r="K112" s="91"/>
      <c r="L112" s="91"/>
      <c r="M112" s="91"/>
      <c r="N112" s="77"/>
      <c r="O112" s="77"/>
      <c r="P112" s="77"/>
      <c r="Q112" s="77"/>
      <c r="R112" s="77"/>
      <c r="S112" s="77"/>
      <c r="T112" s="77"/>
      <c r="U112" s="95"/>
      <c r="V112" s="95"/>
      <c r="W112" s="95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</row>
    <row r="113" spans="1:33" ht="14.4" customHeight="1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90"/>
      <c r="K113" s="91"/>
      <c r="L113" s="91"/>
      <c r="M113" s="91"/>
      <c r="N113" s="77"/>
      <c r="O113" s="77"/>
      <c r="P113" s="77"/>
      <c r="Q113" s="77"/>
      <c r="R113" s="77"/>
      <c r="S113" s="77"/>
      <c r="T113" s="77"/>
      <c r="U113" s="95"/>
      <c r="V113" s="95"/>
      <c r="W113" s="95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</row>
    <row r="114" spans="1:33" ht="14.4" customHeight="1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90"/>
      <c r="K114" s="91"/>
      <c r="L114" s="91"/>
      <c r="M114" s="91"/>
      <c r="N114" s="77"/>
      <c r="O114" s="77"/>
      <c r="P114" s="77"/>
      <c r="Q114" s="77"/>
      <c r="R114" s="77"/>
      <c r="S114" s="77"/>
      <c r="T114" s="77"/>
      <c r="U114" s="95"/>
      <c r="V114" s="95"/>
      <c r="W114" s="95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</row>
    <row r="115" spans="1:33" ht="14.4" customHeight="1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90"/>
      <c r="K115" s="91"/>
      <c r="L115" s="91"/>
      <c r="M115" s="91"/>
      <c r="N115" s="77"/>
      <c r="O115" s="77"/>
      <c r="P115" s="77"/>
      <c r="Q115" s="77"/>
      <c r="R115" s="77"/>
      <c r="S115" s="77"/>
      <c r="T115" s="77"/>
      <c r="U115" s="95"/>
      <c r="V115" s="95"/>
      <c r="W115" s="95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</row>
    <row r="116" spans="1:33" ht="14.4" customHeight="1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90"/>
      <c r="K116" s="91"/>
      <c r="L116" s="91"/>
      <c r="M116" s="91"/>
      <c r="N116" s="77"/>
      <c r="O116" s="77"/>
      <c r="P116" s="77"/>
      <c r="Q116" s="77"/>
      <c r="R116" s="77"/>
      <c r="S116" s="77"/>
      <c r="T116" s="77"/>
      <c r="U116" s="95"/>
      <c r="V116" s="95"/>
      <c r="W116" s="95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</row>
    <row r="117" spans="1:33" ht="14.4" customHeight="1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90"/>
      <c r="K117" s="91"/>
      <c r="L117" s="91"/>
      <c r="M117" s="91"/>
      <c r="N117" s="77"/>
      <c r="O117" s="77"/>
      <c r="P117" s="77"/>
      <c r="Q117" s="77"/>
      <c r="R117" s="77"/>
      <c r="S117" s="77"/>
      <c r="T117" s="77"/>
      <c r="U117" s="95"/>
      <c r="V117" s="95"/>
      <c r="W117" s="95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</row>
    <row r="118" spans="1:33" ht="12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90"/>
      <c r="K118" s="91"/>
      <c r="L118" s="91"/>
      <c r="M118" s="91"/>
      <c r="N118" s="77"/>
      <c r="O118" s="77"/>
      <c r="P118" s="77"/>
      <c r="Q118" s="77"/>
      <c r="R118" s="77"/>
      <c r="S118" s="77"/>
      <c r="T118" s="77"/>
      <c r="U118" s="95"/>
      <c r="V118" s="95"/>
      <c r="W118" s="95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</row>
    <row r="119" spans="1:33" ht="12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90"/>
      <c r="K119" s="91"/>
      <c r="L119" s="91"/>
      <c r="M119" s="91"/>
      <c r="N119" s="77"/>
      <c r="O119" s="77"/>
      <c r="P119" s="77"/>
      <c r="Q119" s="77"/>
      <c r="R119" s="77"/>
      <c r="S119" s="77"/>
      <c r="T119" s="77"/>
      <c r="U119" s="95"/>
      <c r="V119" s="95"/>
      <c r="W119" s="95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</row>
    <row r="120" spans="1:33" ht="14.4" customHeight="1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90"/>
      <c r="K120" s="91"/>
      <c r="L120" s="91"/>
      <c r="M120" s="91"/>
      <c r="N120" s="77"/>
      <c r="O120" s="77"/>
      <c r="P120" s="77"/>
      <c r="Q120" s="77"/>
      <c r="R120" s="77"/>
      <c r="S120" s="77"/>
      <c r="T120" s="77"/>
      <c r="U120" s="95"/>
      <c r="V120" s="95"/>
      <c r="W120" s="95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</row>
    <row r="121" spans="1:33" ht="14.4" customHeight="1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90"/>
      <c r="K121" s="91"/>
      <c r="L121" s="91"/>
      <c r="M121" s="91"/>
      <c r="N121" s="77"/>
      <c r="O121" s="77"/>
      <c r="P121" s="77"/>
      <c r="Q121" s="77"/>
      <c r="R121" s="77"/>
      <c r="S121" s="77"/>
      <c r="T121" s="77"/>
      <c r="U121" s="95"/>
      <c r="V121" s="95"/>
      <c r="W121" s="95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</row>
    <row r="122" spans="1:33" ht="14.4" customHeight="1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90"/>
      <c r="K122" s="91"/>
      <c r="L122" s="91"/>
      <c r="M122" s="91"/>
      <c r="N122" s="77"/>
      <c r="O122" s="77"/>
      <c r="P122" s="77"/>
      <c r="Q122" s="77"/>
      <c r="R122" s="77"/>
      <c r="S122" s="77"/>
      <c r="T122" s="77"/>
      <c r="U122" s="95"/>
      <c r="V122" s="95"/>
      <c r="W122" s="95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</row>
    <row r="123" spans="1:33" ht="14.4" customHeight="1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90"/>
      <c r="K123" s="91"/>
      <c r="L123" s="91"/>
      <c r="M123" s="91"/>
      <c r="N123" s="77"/>
      <c r="O123" s="77"/>
      <c r="P123" s="77"/>
      <c r="Q123" s="77"/>
      <c r="R123" s="77"/>
      <c r="S123" s="77"/>
      <c r="T123" s="77"/>
      <c r="U123" s="95"/>
      <c r="V123" s="95"/>
      <c r="W123" s="95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</row>
    <row r="124" spans="1:33" ht="14.4" customHeigh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90"/>
      <c r="K124" s="91"/>
      <c r="L124" s="91"/>
      <c r="M124" s="91"/>
      <c r="N124" s="77"/>
      <c r="O124" s="77"/>
      <c r="P124" s="77"/>
      <c r="Q124" s="77"/>
      <c r="R124" s="77"/>
      <c r="S124" s="77"/>
      <c r="T124" s="77"/>
      <c r="U124" s="95"/>
      <c r="V124" s="95"/>
      <c r="W124" s="95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</row>
    <row r="125" spans="1:33" ht="14.4" customHeight="1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90"/>
      <c r="K125" s="91"/>
      <c r="L125" s="91"/>
      <c r="M125" s="91"/>
      <c r="N125" s="77"/>
      <c r="O125" s="77"/>
      <c r="P125" s="77"/>
      <c r="Q125" s="77"/>
      <c r="R125" s="77"/>
      <c r="S125" s="77"/>
      <c r="T125" s="77"/>
      <c r="U125" s="95"/>
      <c r="V125" s="95"/>
      <c r="W125" s="95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</row>
    <row r="126" spans="1:33" ht="14.4" customHeight="1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90"/>
      <c r="K126" s="91"/>
      <c r="L126" s="91"/>
      <c r="M126" s="91"/>
      <c r="N126" s="77"/>
      <c r="O126" s="77"/>
      <c r="P126" s="77"/>
      <c r="Q126" s="77"/>
      <c r="R126" s="77"/>
      <c r="S126" s="77"/>
      <c r="T126" s="77"/>
      <c r="U126" s="95"/>
      <c r="V126" s="95"/>
      <c r="W126" s="95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</row>
    <row r="127" spans="1:33" ht="14.4" customHeight="1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90"/>
      <c r="K127" s="91"/>
      <c r="L127" s="91"/>
      <c r="M127" s="91"/>
      <c r="N127" s="77"/>
      <c r="O127" s="77"/>
      <c r="P127" s="77"/>
      <c r="Q127" s="77"/>
      <c r="R127" s="77"/>
      <c r="S127" s="77"/>
      <c r="T127" s="77"/>
      <c r="U127" s="95"/>
      <c r="V127" s="95"/>
      <c r="W127" s="95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</row>
    <row r="128" spans="1:33" ht="14.4" customHeight="1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90"/>
      <c r="K128" s="91"/>
      <c r="L128" s="91"/>
      <c r="M128" s="91"/>
      <c r="N128" s="77"/>
      <c r="O128" s="77"/>
      <c r="P128" s="77"/>
      <c r="Q128" s="77"/>
      <c r="R128" s="77"/>
      <c r="S128" s="77"/>
      <c r="T128" s="77"/>
      <c r="U128" s="95"/>
      <c r="V128" s="95"/>
      <c r="W128" s="95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</row>
    <row r="129" spans="1:33" ht="14.4" customHeight="1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90"/>
      <c r="K129" s="91"/>
      <c r="L129" s="91"/>
      <c r="M129" s="91"/>
      <c r="N129" s="77"/>
      <c r="O129" s="77"/>
      <c r="P129" s="77"/>
      <c r="Q129" s="77"/>
      <c r="R129" s="77"/>
      <c r="S129" s="77"/>
      <c r="T129" s="77"/>
      <c r="U129" s="95"/>
      <c r="V129" s="95"/>
      <c r="W129" s="95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</row>
    <row r="130" spans="1:33" ht="14.4" customHeight="1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90"/>
      <c r="K130" s="91"/>
      <c r="L130" s="91"/>
      <c r="M130" s="91"/>
      <c r="N130" s="77"/>
      <c r="O130" s="77"/>
      <c r="P130" s="77"/>
      <c r="Q130" s="77"/>
      <c r="R130" s="77"/>
      <c r="S130" s="77"/>
      <c r="T130" s="77"/>
      <c r="U130" s="95"/>
      <c r="V130" s="95"/>
      <c r="W130" s="95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</row>
    <row r="131" spans="1:33" ht="14.4" customHeight="1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90"/>
      <c r="K131" s="91"/>
      <c r="L131" s="91"/>
      <c r="M131" s="91"/>
      <c r="N131" s="77"/>
      <c r="O131" s="77"/>
      <c r="P131" s="77"/>
      <c r="Q131" s="77"/>
      <c r="R131" s="77"/>
      <c r="S131" s="77"/>
      <c r="T131" s="77"/>
      <c r="U131" s="95"/>
      <c r="V131" s="95"/>
      <c r="W131" s="95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</row>
    <row r="132" spans="1:33" ht="14.4" customHeight="1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90"/>
      <c r="K132" s="91"/>
      <c r="L132" s="91"/>
      <c r="M132" s="91"/>
      <c r="N132" s="77"/>
      <c r="O132" s="77"/>
      <c r="P132" s="77"/>
      <c r="Q132" s="77"/>
      <c r="R132" s="77"/>
      <c r="S132" s="77"/>
      <c r="T132" s="77"/>
      <c r="U132" s="95"/>
      <c r="V132" s="95"/>
      <c r="W132" s="95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</row>
    <row r="133" spans="1:33" ht="14.4" customHeight="1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90"/>
      <c r="K133" s="91"/>
      <c r="L133" s="91"/>
      <c r="M133" s="91"/>
      <c r="N133" s="77"/>
      <c r="O133" s="77"/>
      <c r="P133" s="77"/>
      <c r="Q133" s="77"/>
      <c r="R133" s="77"/>
      <c r="S133" s="77"/>
      <c r="T133" s="77"/>
      <c r="U133" s="95"/>
      <c r="V133" s="95"/>
      <c r="W133" s="95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</row>
    <row r="134" spans="1:33" ht="14.4" customHeight="1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90"/>
      <c r="K134" s="91"/>
      <c r="L134" s="91"/>
      <c r="M134" s="91"/>
      <c r="N134" s="77"/>
      <c r="O134" s="77"/>
      <c r="P134" s="77"/>
      <c r="Q134" s="77"/>
      <c r="R134" s="77"/>
      <c r="S134" s="77"/>
      <c r="T134" s="77"/>
      <c r="U134" s="95"/>
      <c r="V134" s="95"/>
      <c r="W134" s="95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</row>
    <row r="135" spans="1:33" ht="14.4" customHeight="1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90"/>
      <c r="K135" s="91"/>
      <c r="L135" s="91"/>
      <c r="M135" s="91"/>
      <c r="N135" s="77"/>
      <c r="O135" s="77"/>
      <c r="P135" s="77"/>
      <c r="Q135" s="77"/>
      <c r="R135" s="77"/>
      <c r="S135" s="77"/>
      <c r="T135" s="77"/>
      <c r="U135" s="95"/>
      <c r="V135" s="95"/>
      <c r="W135" s="95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</row>
    <row r="136" spans="1:33" ht="14.4" customHeight="1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90"/>
      <c r="K136" s="91"/>
      <c r="L136" s="91"/>
      <c r="M136" s="91"/>
      <c r="N136" s="77"/>
      <c r="O136" s="77"/>
      <c r="P136" s="77"/>
      <c r="Q136" s="77"/>
      <c r="R136" s="77"/>
      <c r="S136" s="77"/>
      <c r="T136" s="77"/>
      <c r="U136" s="95"/>
      <c r="V136" s="95"/>
      <c r="W136" s="95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</row>
    <row r="137" spans="1:33" ht="14.4" customHeight="1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90"/>
      <c r="K137" s="91"/>
      <c r="L137" s="91"/>
      <c r="M137" s="91"/>
      <c r="N137" s="77"/>
      <c r="O137" s="77"/>
      <c r="P137" s="77"/>
      <c r="Q137" s="77"/>
      <c r="R137" s="77"/>
      <c r="S137" s="77"/>
      <c r="T137" s="77"/>
      <c r="U137" s="95"/>
      <c r="V137" s="95"/>
      <c r="W137" s="95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</row>
    <row r="138" spans="1:33" ht="14.4" customHeight="1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90"/>
      <c r="K138" s="91"/>
      <c r="L138" s="91"/>
      <c r="M138" s="91"/>
      <c r="N138" s="77"/>
      <c r="O138" s="77"/>
      <c r="P138" s="77"/>
      <c r="Q138" s="77"/>
      <c r="R138" s="77"/>
      <c r="S138" s="77"/>
      <c r="T138" s="77"/>
      <c r="U138" s="95"/>
      <c r="V138" s="95"/>
      <c r="W138" s="95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</row>
    <row r="139" spans="1:33" ht="14.4" customHeigh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90"/>
      <c r="K139" s="91"/>
      <c r="L139" s="91"/>
      <c r="M139" s="91"/>
      <c r="N139" s="77"/>
      <c r="O139" s="77"/>
      <c r="P139" s="77"/>
      <c r="Q139" s="77"/>
      <c r="R139" s="77"/>
      <c r="S139" s="77"/>
      <c r="T139" s="77"/>
      <c r="U139" s="95"/>
      <c r="V139" s="95"/>
      <c r="W139" s="95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</row>
    <row r="140" spans="1:33" ht="14.4" customHeight="1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90"/>
      <c r="K140" s="91"/>
      <c r="L140" s="91"/>
      <c r="M140" s="91"/>
      <c r="N140" s="77"/>
      <c r="O140" s="77"/>
      <c r="P140" s="77"/>
      <c r="Q140" s="77"/>
      <c r="R140" s="77"/>
      <c r="S140" s="77"/>
      <c r="T140" s="77"/>
      <c r="U140" s="95"/>
      <c r="V140" s="95"/>
      <c r="W140" s="95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</row>
    <row r="141" spans="1:33" ht="14.4" customHeight="1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90"/>
      <c r="K141" s="91"/>
      <c r="L141" s="91"/>
      <c r="M141" s="91"/>
      <c r="N141" s="77"/>
      <c r="O141" s="77"/>
      <c r="P141" s="77"/>
      <c r="Q141" s="77"/>
      <c r="R141" s="77"/>
      <c r="S141" s="77"/>
      <c r="T141" s="77"/>
      <c r="U141" s="95"/>
      <c r="V141" s="95"/>
      <c r="W141" s="95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</row>
    <row r="142" spans="1:33" ht="14.4" customHeight="1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90"/>
      <c r="K142" s="91"/>
      <c r="L142" s="91"/>
      <c r="M142" s="91"/>
      <c r="N142" s="77"/>
      <c r="O142" s="77"/>
      <c r="P142" s="77"/>
      <c r="Q142" s="77"/>
      <c r="R142" s="77"/>
      <c r="S142" s="77"/>
      <c r="T142" s="77"/>
      <c r="U142" s="95"/>
      <c r="V142" s="95"/>
      <c r="W142" s="95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</row>
    <row r="143" spans="1:33" ht="14.4" customHeight="1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90"/>
      <c r="K143" s="91"/>
      <c r="L143" s="91"/>
      <c r="M143" s="91"/>
      <c r="N143" s="77"/>
      <c r="O143" s="77"/>
      <c r="P143" s="77"/>
      <c r="Q143" s="77"/>
      <c r="R143" s="77"/>
      <c r="S143" s="77"/>
      <c r="T143" s="77"/>
      <c r="U143" s="95"/>
      <c r="V143" s="95"/>
      <c r="W143" s="95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</row>
    <row r="144" spans="1:33" ht="14.4" customHeight="1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90"/>
      <c r="K144" s="91"/>
      <c r="L144" s="91"/>
      <c r="M144" s="91"/>
      <c r="N144" s="77"/>
      <c r="O144" s="77"/>
      <c r="P144" s="77"/>
      <c r="Q144" s="77"/>
      <c r="R144" s="77"/>
      <c r="S144" s="77"/>
      <c r="T144" s="77"/>
      <c r="U144" s="95"/>
      <c r="V144" s="95"/>
      <c r="W144" s="95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</row>
    <row r="145" spans="1:33" ht="14.4" customHeight="1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90"/>
      <c r="K145" s="91"/>
      <c r="L145" s="91"/>
      <c r="M145" s="91"/>
      <c r="N145" s="77"/>
      <c r="O145" s="77"/>
      <c r="P145" s="77"/>
      <c r="Q145" s="77"/>
      <c r="R145" s="77"/>
      <c r="S145" s="77"/>
      <c r="T145" s="77"/>
      <c r="U145" s="95"/>
      <c r="V145" s="95"/>
      <c r="W145" s="95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</row>
    <row r="146" spans="1:33" ht="14.4" customHeight="1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90"/>
      <c r="K146" s="91"/>
      <c r="L146" s="91"/>
      <c r="M146" s="91"/>
      <c r="N146" s="77"/>
      <c r="O146" s="77"/>
      <c r="P146" s="77"/>
      <c r="Q146" s="77"/>
      <c r="R146" s="77"/>
      <c r="S146" s="77"/>
      <c r="T146" s="77"/>
      <c r="U146" s="95"/>
      <c r="V146" s="95"/>
      <c r="W146" s="95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</row>
    <row r="147" spans="1:33" ht="14.4" customHeight="1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90"/>
      <c r="K147" s="91"/>
      <c r="L147" s="91"/>
      <c r="M147" s="91"/>
      <c r="N147" s="77"/>
      <c r="O147" s="77"/>
      <c r="P147" s="77"/>
      <c r="Q147" s="77"/>
      <c r="R147" s="77"/>
      <c r="S147" s="77"/>
      <c r="T147" s="77"/>
      <c r="U147" s="95"/>
      <c r="V147" s="95"/>
      <c r="W147" s="95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</row>
    <row r="148" spans="1:33" ht="14.4" customHeight="1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90"/>
      <c r="K148" s="91"/>
      <c r="L148" s="91"/>
      <c r="M148" s="91"/>
      <c r="N148" s="77"/>
      <c r="O148" s="77"/>
      <c r="P148" s="77"/>
      <c r="Q148" s="77"/>
      <c r="R148" s="77"/>
      <c r="S148" s="77"/>
      <c r="T148" s="77"/>
      <c r="U148" s="95"/>
      <c r="V148" s="95"/>
      <c r="W148" s="95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</row>
    <row r="149" spans="1:33" ht="14.4" customHeight="1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90"/>
      <c r="K149" s="91"/>
      <c r="L149" s="91"/>
      <c r="M149" s="91"/>
      <c r="N149" s="77"/>
      <c r="O149" s="77"/>
      <c r="P149" s="77"/>
      <c r="Q149" s="77"/>
      <c r="R149" s="77"/>
      <c r="S149" s="77"/>
      <c r="T149" s="77"/>
      <c r="U149" s="95"/>
      <c r="V149" s="95"/>
      <c r="W149" s="95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</row>
    <row r="150" spans="1:33" ht="14.4" customHeight="1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90"/>
      <c r="K150" s="91"/>
      <c r="L150" s="91"/>
      <c r="M150" s="91"/>
      <c r="N150" s="77"/>
      <c r="O150" s="77"/>
      <c r="P150" s="77"/>
      <c r="Q150" s="77"/>
      <c r="R150" s="77"/>
      <c r="S150" s="77"/>
      <c r="T150" s="77"/>
      <c r="U150" s="95"/>
      <c r="V150" s="95"/>
      <c r="W150" s="95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</row>
    <row r="151" spans="1:33" ht="14.4" customHeight="1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90"/>
      <c r="K151" s="91"/>
      <c r="L151" s="91"/>
      <c r="M151" s="91"/>
      <c r="N151" s="77"/>
      <c r="O151" s="77"/>
      <c r="P151" s="77"/>
      <c r="Q151" s="77"/>
      <c r="R151" s="77"/>
      <c r="S151" s="77"/>
      <c r="T151" s="77"/>
      <c r="U151" s="95"/>
      <c r="V151" s="95"/>
      <c r="W151" s="95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</row>
    <row r="152" spans="1:33" ht="14.4" customHeight="1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90"/>
      <c r="K152" s="91"/>
      <c r="L152" s="91"/>
      <c r="M152" s="91"/>
      <c r="N152" s="77"/>
      <c r="O152" s="77"/>
      <c r="P152" s="77"/>
      <c r="Q152" s="77"/>
      <c r="R152" s="77"/>
      <c r="S152" s="77"/>
      <c r="T152" s="77"/>
      <c r="U152" s="95"/>
      <c r="V152" s="95"/>
      <c r="W152" s="95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</row>
    <row r="153" spans="1:33" ht="14.4" customHeight="1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90"/>
      <c r="K153" s="91"/>
      <c r="L153" s="91"/>
      <c r="M153" s="91"/>
      <c r="N153" s="77"/>
      <c r="O153" s="77"/>
      <c r="P153" s="77"/>
      <c r="Q153" s="77"/>
      <c r="R153" s="77"/>
      <c r="S153" s="77"/>
      <c r="T153" s="77"/>
      <c r="U153" s="95"/>
      <c r="V153" s="95"/>
      <c r="W153" s="95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</row>
    <row r="154" spans="1:33" ht="14.4" customHeigh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90"/>
      <c r="K154" s="91"/>
      <c r="L154" s="91"/>
      <c r="M154" s="91"/>
      <c r="N154" s="77"/>
      <c r="O154" s="77"/>
      <c r="P154" s="77"/>
      <c r="Q154" s="77"/>
      <c r="R154" s="77"/>
      <c r="S154" s="77"/>
      <c r="T154" s="77"/>
      <c r="U154" s="95"/>
      <c r="V154" s="95"/>
      <c r="W154" s="95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</row>
    <row r="155" spans="1:33" ht="14.4" customHeight="1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90"/>
      <c r="K155" s="91"/>
      <c r="L155" s="91"/>
      <c r="M155" s="91"/>
      <c r="N155" s="77"/>
      <c r="O155" s="77"/>
      <c r="P155" s="77"/>
      <c r="Q155" s="77"/>
      <c r="R155" s="77"/>
      <c r="S155" s="77"/>
      <c r="T155" s="77"/>
      <c r="U155" s="95"/>
      <c r="V155" s="95"/>
      <c r="W155" s="95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</row>
    <row r="156" spans="1:33" ht="14.4" customHeight="1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90"/>
      <c r="K156" s="91"/>
      <c r="L156" s="91"/>
      <c r="M156" s="91"/>
      <c r="N156" s="77"/>
      <c r="O156" s="77"/>
      <c r="P156" s="77"/>
      <c r="Q156" s="77"/>
      <c r="R156" s="77"/>
      <c r="S156" s="77"/>
      <c r="T156" s="77"/>
      <c r="U156" s="95"/>
      <c r="V156" s="95"/>
      <c r="W156" s="95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</row>
    <row r="157" spans="1:33" ht="14.4" customHeight="1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90"/>
      <c r="K157" s="91"/>
      <c r="L157" s="91"/>
      <c r="M157" s="91"/>
      <c r="N157" s="77"/>
      <c r="O157" s="77"/>
      <c r="P157" s="77"/>
      <c r="Q157" s="77"/>
      <c r="R157" s="77"/>
      <c r="S157" s="77"/>
      <c r="T157" s="77"/>
      <c r="U157" s="95"/>
      <c r="V157" s="95"/>
      <c r="W157" s="95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</row>
    <row r="158" spans="1:33" ht="14.4" customHeight="1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90"/>
      <c r="K158" s="91"/>
      <c r="L158" s="91"/>
      <c r="M158" s="91"/>
      <c r="N158" s="77"/>
      <c r="O158" s="77"/>
      <c r="P158" s="77"/>
      <c r="Q158" s="77"/>
      <c r="R158" s="77"/>
      <c r="S158" s="77"/>
      <c r="T158" s="77"/>
      <c r="U158" s="95"/>
      <c r="V158" s="95"/>
      <c r="W158" s="95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</row>
    <row r="159" spans="1:33" ht="14.4" customHeight="1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90"/>
      <c r="K159" s="91"/>
      <c r="L159" s="91"/>
      <c r="M159" s="91"/>
      <c r="N159" s="77"/>
      <c r="O159" s="77"/>
      <c r="P159" s="77"/>
      <c r="Q159" s="77"/>
      <c r="R159" s="77"/>
      <c r="S159" s="77"/>
      <c r="T159" s="77"/>
      <c r="U159" s="95"/>
      <c r="V159" s="95"/>
      <c r="W159" s="95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</row>
    <row r="160" spans="1:33" ht="14.4" customHeight="1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90"/>
      <c r="K160" s="91"/>
      <c r="L160" s="91"/>
      <c r="M160" s="91"/>
      <c r="N160" s="77"/>
      <c r="O160" s="77"/>
      <c r="P160" s="77"/>
      <c r="Q160" s="77"/>
      <c r="R160" s="77"/>
      <c r="S160" s="77"/>
      <c r="T160" s="77"/>
      <c r="U160" s="95"/>
      <c r="V160" s="95"/>
      <c r="W160" s="95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</row>
    <row r="161" spans="1:33" ht="14.4" customHeight="1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90"/>
      <c r="K161" s="91"/>
      <c r="L161" s="91"/>
      <c r="M161" s="91"/>
      <c r="N161" s="77"/>
      <c r="O161" s="77"/>
      <c r="P161" s="77"/>
      <c r="Q161" s="77"/>
      <c r="R161" s="77"/>
      <c r="S161" s="77"/>
      <c r="T161" s="77"/>
      <c r="U161" s="95"/>
      <c r="V161" s="95"/>
      <c r="W161" s="95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</row>
    <row r="162" spans="1:33" ht="14.4" customHeight="1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90"/>
      <c r="K162" s="91"/>
      <c r="L162" s="91"/>
      <c r="M162" s="91"/>
      <c r="N162" s="77"/>
      <c r="O162" s="77"/>
      <c r="P162" s="77"/>
      <c r="Q162" s="77"/>
      <c r="R162" s="77"/>
      <c r="S162" s="77"/>
      <c r="T162" s="77"/>
      <c r="U162" s="95"/>
      <c r="V162" s="95"/>
      <c r="W162" s="95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</row>
    <row r="163" spans="1:33" ht="14.4" customHeight="1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90"/>
      <c r="K163" s="91"/>
      <c r="L163" s="91"/>
      <c r="M163" s="91"/>
      <c r="N163" s="77"/>
      <c r="O163" s="77"/>
      <c r="P163" s="77"/>
      <c r="Q163" s="77"/>
      <c r="R163" s="77"/>
      <c r="S163" s="77"/>
      <c r="T163" s="77"/>
      <c r="U163" s="95"/>
      <c r="V163" s="95"/>
      <c r="W163" s="95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</row>
    <row r="164" spans="1:33" ht="14.4" customHeight="1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90"/>
      <c r="K164" s="91"/>
      <c r="L164" s="91"/>
      <c r="M164" s="91"/>
      <c r="N164" s="77"/>
      <c r="O164" s="77"/>
      <c r="P164" s="77"/>
      <c r="Q164" s="77"/>
      <c r="R164" s="77"/>
      <c r="S164" s="77"/>
      <c r="T164" s="77"/>
      <c r="U164" s="95"/>
      <c r="V164" s="95"/>
      <c r="W164" s="95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</row>
    <row r="165" spans="1:33" ht="14.4" customHeight="1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90"/>
      <c r="K165" s="91"/>
      <c r="L165" s="91"/>
      <c r="M165" s="91"/>
      <c r="N165" s="77"/>
      <c r="O165" s="77"/>
      <c r="P165" s="77"/>
      <c r="Q165" s="77"/>
      <c r="R165" s="77"/>
      <c r="S165" s="77"/>
      <c r="T165" s="77"/>
      <c r="U165" s="95"/>
      <c r="V165" s="95"/>
      <c r="W165" s="95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</row>
    <row r="166" spans="1:33" ht="14.4" customHeight="1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90"/>
      <c r="K166" s="91"/>
      <c r="L166" s="91"/>
      <c r="M166" s="91"/>
      <c r="N166" s="77"/>
      <c r="O166" s="77"/>
      <c r="P166" s="77"/>
      <c r="Q166" s="77"/>
      <c r="R166" s="77"/>
      <c r="S166" s="77"/>
      <c r="T166" s="77"/>
      <c r="U166" s="95"/>
      <c r="V166" s="95"/>
      <c r="W166" s="95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</row>
    <row r="167" spans="1:33" ht="14.4" customHeight="1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90"/>
      <c r="K167" s="91"/>
      <c r="L167" s="91"/>
      <c r="M167" s="91"/>
      <c r="N167" s="77"/>
      <c r="O167" s="77"/>
      <c r="P167" s="77"/>
      <c r="Q167" s="77"/>
      <c r="R167" s="77"/>
      <c r="S167" s="77"/>
      <c r="T167" s="77"/>
      <c r="U167" s="95"/>
      <c r="V167" s="95"/>
      <c r="W167" s="95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</row>
    <row r="168" spans="1:33" ht="14.4" customHeight="1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90"/>
      <c r="K168" s="91"/>
      <c r="L168" s="91"/>
      <c r="M168" s="91"/>
      <c r="N168" s="77"/>
      <c r="O168" s="77"/>
      <c r="P168" s="77"/>
      <c r="Q168" s="77"/>
      <c r="R168" s="77"/>
      <c r="S168" s="77"/>
      <c r="T168" s="77"/>
      <c r="U168" s="95"/>
      <c r="V168" s="95"/>
      <c r="W168" s="95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</row>
    <row r="169" spans="1:33" ht="14.4" customHeigh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90"/>
      <c r="K169" s="91"/>
      <c r="L169" s="91"/>
      <c r="M169" s="91"/>
      <c r="N169" s="77"/>
      <c r="O169" s="77"/>
      <c r="P169" s="77"/>
      <c r="Q169" s="77"/>
      <c r="R169" s="77"/>
      <c r="S169" s="77"/>
      <c r="T169" s="77"/>
      <c r="U169" s="95"/>
      <c r="V169" s="95"/>
      <c r="W169" s="95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</row>
    <row r="170" spans="1:33" ht="14.4" customHeight="1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90"/>
      <c r="K170" s="91"/>
      <c r="L170" s="91"/>
      <c r="M170" s="91"/>
      <c r="N170" s="77"/>
      <c r="O170" s="77"/>
      <c r="P170" s="77"/>
      <c r="Q170" s="77"/>
      <c r="R170" s="77"/>
      <c r="S170" s="77"/>
      <c r="T170" s="77"/>
      <c r="U170" s="95"/>
      <c r="V170" s="95"/>
      <c r="W170" s="95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</row>
    <row r="171" spans="1:33" ht="14.4" customHeight="1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90"/>
      <c r="K171" s="91"/>
      <c r="L171" s="91"/>
      <c r="M171" s="91"/>
      <c r="N171" s="77"/>
      <c r="O171" s="77"/>
      <c r="P171" s="77"/>
      <c r="Q171" s="77"/>
      <c r="R171" s="77"/>
      <c r="S171" s="77"/>
      <c r="T171" s="77"/>
      <c r="U171" s="95"/>
      <c r="V171" s="95"/>
      <c r="W171" s="95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</row>
    <row r="172" spans="1:33" ht="14.4" customHeight="1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90"/>
      <c r="K172" s="91"/>
      <c r="L172" s="91"/>
      <c r="M172" s="91"/>
      <c r="N172" s="77"/>
      <c r="O172" s="77"/>
      <c r="P172" s="77"/>
      <c r="Q172" s="77"/>
      <c r="R172" s="77"/>
      <c r="S172" s="77"/>
      <c r="T172" s="77"/>
      <c r="U172" s="95"/>
      <c r="V172" s="95"/>
      <c r="W172" s="95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</row>
    <row r="173" spans="1:33" ht="14.4" customHeight="1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90"/>
      <c r="K173" s="91"/>
      <c r="L173" s="91"/>
      <c r="M173" s="91"/>
      <c r="N173" s="77"/>
      <c r="O173" s="77"/>
      <c r="P173" s="77"/>
      <c r="Q173" s="77"/>
      <c r="R173" s="77"/>
      <c r="S173" s="77"/>
      <c r="T173" s="77"/>
      <c r="U173" s="95"/>
      <c r="V173" s="95"/>
      <c r="W173" s="95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</row>
    <row r="174" spans="1:33" ht="14.4" customHeight="1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90"/>
      <c r="K174" s="91"/>
      <c r="L174" s="91"/>
      <c r="M174" s="91"/>
      <c r="N174" s="77"/>
      <c r="O174" s="77"/>
      <c r="P174" s="77"/>
      <c r="Q174" s="77"/>
      <c r="R174" s="77"/>
      <c r="S174" s="77"/>
      <c r="T174" s="77"/>
      <c r="U174" s="95"/>
      <c r="V174" s="95"/>
      <c r="W174" s="95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</row>
    <row r="175" spans="1:33" ht="14.4" customHeight="1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90"/>
      <c r="K175" s="91"/>
      <c r="L175" s="91"/>
      <c r="M175" s="91"/>
      <c r="N175" s="77"/>
      <c r="O175" s="77"/>
      <c r="P175" s="77"/>
      <c r="Q175" s="77"/>
      <c r="R175" s="77"/>
      <c r="S175" s="77"/>
      <c r="T175" s="77"/>
      <c r="U175" s="95"/>
      <c r="V175" s="95"/>
      <c r="W175" s="95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</row>
    <row r="176" spans="1:33" ht="14.4" customHeight="1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90"/>
      <c r="K176" s="91"/>
      <c r="L176" s="91"/>
      <c r="M176" s="91"/>
      <c r="N176" s="77"/>
      <c r="O176" s="77"/>
      <c r="P176" s="77"/>
      <c r="Q176" s="77"/>
      <c r="R176" s="77"/>
      <c r="S176" s="77"/>
      <c r="T176" s="77"/>
      <c r="U176" s="95"/>
      <c r="V176" s="95"/>
      <c r="W176" s="95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</row>
    <row r="177" spans="1:33" ht="14.4" customHeight="1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90"/>
      <c r="K177" s="91"/>
      <c r="L177" s="91"/>
      <c r="M177" s="91"/>
      <c r="N177" s="77"/>
      <c r="O177" s="77"/>
      <c r="P177" s="77"/>
      <c r="Q177" s="77"/>
      <c r="R177" s="77"/>
      <c r="S177" s="77"/>
      <c r="T177" s="77"/>
      <c r="U177" s="95"/>
      <c r="V177" s="95"/>
      <c r="W177" s="95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</row>
    <row r="178" spans="1:33" ht="14.4" customHeight="1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90"/>
      <c r="K178" s="91"/>
      <c r="L178" s="91"/>
      <c r="M178" s="91"/>
      <c r="N178" s="77"/>
      <c r="O178" s="77"/>
      <c r="P178" s="77"/>
      <c r="Q178" s="77"/>
      <c r="R178" s="77"/>
      <c r="S178" s="77"/>
      <c r="T178" s="77"/>
      <c r="U178" s="95"/>
      <c r="V178" s="95"/>
      <c r="W178" s="95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</row>
    <row r="179" spans="1:33" ht="14.4" customHeight="1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90"/>
      <c r="K179" s="91"/>
      <c r="L179" s="91"/>
      <c r="M179" s="91"/>
      <c r="N179" s="77"/>
      <c r="O179" s="77"/>
      <c r="P179" s="77"/>
      <c r="Q179" s="77"/>
      <c r="R179" s="77"/>
      <c r="S179" s="77"/>
      <c r="T179" s="77"/>
      <c r="U179" s="95"/>
      <c r="V179" s="95"/>
      <c r="W179" s="95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</row>
    <row r="180" spans="1:33" ht="14.4" customHeight="1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90"/>
      <c r="K180" s="91"/>
      <c r="L180" s="91"/>
      <c r="M180" s="91"/>
      <c r="N180" s="77"/>
      <c r="O180" s="77"/>
      <c r="P180" s="77"/>
      <c r="Q180" s="77"/>
      <c r="R180" s="77"/>
      <c r="S180" s="77"/>
      <c r="T180" s="77"/>
      <c r="U180" s="95"/>
      <c r="V180" s="95"/>
      <c r="W180" s="95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</row>
    <row r="181" spans="1:33" ht="14.4" customHeight="1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90"/>
      <c r="K181" s="91"/>
      <c r="L181" s="91"/>
      <c r="M181" s="91"/>
      <c r="N181" s="77"/>
      <c r="O181" s="77"/>
      <c r="P181" s="77"/>
      <c r="Q181" s="77"/>
      <c r="R181" s="77"/>
      <c r="S181" s="77"/>
      <c r="T181" s="77"/>
      <c r="U181" s="95"/>
      <c r="V181" s="95"/>
      <c r="W181" s="95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</row>
    <row r="182" spans="1:33" ht="14.4" customHeight="1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90"/>
      <c r="K182" s="91"/>
      <c r="L182" s="91"/>
      <c r="M182" s="91"/>
      <c r="N182" s="77"/>
      <c r="O182" s="77"/>
      <c r="P182" s="77"/>
      <c r="Q182" s="77"/>
      <c r="R182" s="77"/>
      <c r="S182" s="77"/>
      <c r="T182" s="77"/>
      <c r="U182" s="95"/>
      <c r="V182" s="95"/>
      <c r="W182" s="95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</row>
    <row r="183" spans="1:33" ht="14.4" customHeight="1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90"/>
      <c r="K183" s="91"/>
      <c r="L183" s="91"/>
      <c r="M183" s="91"/>
      <c r="N183" s="77"/>
      <c r="O183" s="77"/>
      <c r="P183" s="77"/>
      <c r="Q183" s="77"/>
      <c r="R183" s="77"/>
      <c r="S183" s="77"/>
      <c r="T183" s="77"/>
      <c r="U183" s="95"/>
      <c r="V183" s="95"/>
      <c r="W183" s="95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</row>
    <row r="184" spans="1:33" ht="14.4" customHeigh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90"/>
      <c r="K184" s="91"/>
      <c r="L184" s="91"/>
      <c r="M184" s="91"/>
      <c r="N184" s="77"/>
      <c r="O184" s="77"/>
      <c r="P184" s="77"/>
      <c r="Q184" s="77"/>
      <c r="R184" s="77"/>
      <c r="S184" s="77"/>
      <c r="T184" s="77"/>
      <c r="U184" s="95"/>
      <c r="V184" s="95"/>
      <c r="W184" s="95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</row>
    <row r="185" spans="1:33" ht="14.4" customHeight="1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90"/>
      <c r="K185" s="91"/>
      <c r="L185" s="91"/>
      <c r="M185" s="91"/>
      <c r="N185" s="77"/>
      <c r="O185" s="77"/>
      <c r="P185" s="77"/>
      <c r="Q185" s="77"/>
      <c r="R185" s="77"/>
      <c r="S185" s="77"/>
      <c r="T185" s="77"/>
      <c r="U185" s="95"/>
      <c r="V185" s="95"/>
      <c r="W185" s="95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</row>
    <row r="186" spans="1:33" ht="14.4" customHeight="1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90"/>
      <c r="K186" s="91"/>
      <c r="L186" s="91"/>
      <c r="M186" s="91"/>
      <c r="N186" s="77"/>
      <c r="O186" s="77"/>
      <c r="P186" s="77"/>
      <c r="Q186" s="77"/>
      <c r="R186" s="77"/>
      <c r="S186" s="77"/>
      <c r="T186" s="77"/>
      <c r="U186" s="95"/>
      <c r="V186" s="95"/>
      <c r="W186" s="95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</row>
    <row r="187" spans="1:33" ht="14.4" customHeight="1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90"/>
      <c r="K187" s="91"/>
      <c r="L187" s="91"/>
      <c r="M187" s="91"/>
      <c r="N187" s="77"/>
      <c r="O187" s="77"/>
      <c r="P187" s="77"/>
      <c r="Q187" s="77"/>
      <c r="R187" s="77"/>
      <c r="S187" s="77"/>
      <c r="T187" s="77"/>
      <c r="U187" s="95"/>
      <c r="V187" s="95"/>
      <c r="W187" s="95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</row>
    <row r="188" spans="1:33" ht="14.4" customHeight="1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90"/>
      <c r="K188" s="91"/>
      <c r="L188" s="91"/>
      <c r="M188" s="91"/>
      <c r="N188" s="77"/>
      <c r="O188" s="77"/>
      <c r="P188" s="77"/>
      <c r="Q188" s="77"/>
      <c r="R188" s="77"/>
      <c r="S188" s="77"/>
      <c r="T188" s="77"/>
      <c r="U188" s="95"/>
      <c r="V188" s="95"/>
      <c r="W188" s="95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</row>
    <row r="189" spans="1:33" ht="14.4" customHeight="1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90"/>
      <c r="K189" s="91"/>
      <c r="L189" s="91"/>
      <c r="M189" s="91"/>
      <c r="N189" s="77"/>
      <c r="O189" s="77"/>
      <c r="P189" s="77"/>
      <c r="Q189" s="77"/>
      <c r="R189" s="77"/>
      <c r="S189" s="77"/>
      <c r="T189" s="77"/>
      <c r="U189" s="95"/>
      <c r="V189" s="95"/>
      <c r="W189" s="95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</row>
    <row r="190" spans="1:33" ht="14.4" customHeight="1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90"/>
      <c r="K190" s="91"/>
      <c r="L190" s="91"/>
      <c r="M190" s="91"/>
      <c r="N190" s="77"/>
      <c r="O190" s="77"/>
      <c r="P190" s="77"/>
      <c r="Q190" s="77"/>
      <c r="R190" s="77"/>
      <c r="S190" s="77"/>
      <c r="T190" s="77"/>
      <c r="U190" s="95"/>
      <c r="V190" s="95"/>
      <c r="W190" s="95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</row>
    <row r="191" spans="1:33" ht="14.4" customHeight="1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90"/>
      <c r="K191" s="91"/>
      <c r="L191" s="91"/>
      <c r="M191" s="91"/>
      <c r="N191" s="77"/>
      <c r="O191" s="77"/>
      <c r="P191" s="77"/>
      <c r="Q191" s="77"/>
      <c r="R191" s="77"/>
      <c r="S191" s="77"/>
      <c r="T191" s="77"/>
      <c r="U191" s="95"/>
      <c r="V191" s="95"/>
      <c r="W191" s="95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</row>
    <row r="192" spans="1:33" ht="14.4" customHeight="1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90"/>
      <c r="K192" s="91"/>
      <c r="L192" s="91"/>
      <c r="M192" s="91"/>
      <c r="N192" s="77"/>
      <c r="O192" s="77"/>
      <c r="P192" s="77"/>
      <c r="Q192" s="77"/>
      <c r="R192" s="77"/>
      <c r="S192" s="77"/>
      <c r="T192" s="77"/>
      <c r="U192" s="95"/>
      <c r="V192" s="95"/>
      <c r="W192" s="95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</row>
    <row r="193" spans="1:33" ht="14.4" customHeight="1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90"/>
      <c r="K193" s="91"/>
      <c r="L193" s="91"/>
      <c r="M193" s="91"/>
      <c r="N193" s="77"/>
      <c r="O193" s="77"/>
      <c r="P193" s="77"/>
      <c r="Q193" s="77"/>
      <c r="R193" s="77"/>
      <c r="S193" s="77"/>
      <c r="T193" s="77"/>
      <c r="U193" s="95"/>
      <c r="V193" s="95"/>
      <c r="W193" s="95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</row>
    <row r="194" spans="1:33" ht="14.4" customHeight="1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90"/>
      <c r="K194" s="91"/>
      <c r="L194" s="91"/>
      <c r="M194" s="91"/>
      <c r="N194" s="77"/>
      <c r="O194" s="77"/>
      <c r="P194" s="77"/>
      <c r="Q194" s="77"/>
      <c r="R194" s="77"/>
      <c r="S194" s="77"/>
      <c r="T194" s="77"/>
      <c r="U194" s="95"/>
      <c r="V194" s="95"/>
      <c r="W194" s="95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</row>
    <row r="195" spans="1:33" ht="14.4" customHeight="1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90"/>
      <c r="K195" s="91"/>
      <c r="L195" s="91"/>
      <c r="M195" s="91"/>
      <c r="N195" s="77"/>
      <c r="O195" s="77"/>
      <c r="P195" s="77"/>
      <c r="Q195" s="77"/>
      <c r="R195" s="77"/>
      <c r="S195" s="77"/>
      <c r="T195" s="77"/>
      <c r="U195" s="95"/>
      <c r="V195" s="95"/>
      <c r="W195" s="95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</row>
    <row r="196" spans="1:33" ht="14.4" customHeight="1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90"/>
      <c r="K196" s="91"/>
      <c r="L196" s="91"/>
      <c r="M196" s="91"/>
      <c r="N196" s="77"/>
      <c r="O196" s="77"/>
      <c r="P196" s="77"/>
      <c r="Q196" s="77"/>
      <c r="R196" s="77"/>
      <c r="S196" s="77"/>
      <c r="T196" s="77"/>
      <c r="U196" s="95"/>
      <c r="V196" s="95"/>
      <c r="W196" s="95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</row>
    <row r="197" spans="1:33" ht="14.4" customHeight="1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90"/>
      <c r="K197" s="91"/>
      <c r="L197" s="91"/>
      <c r="M197" s="91"/>
      <c r="N197" s="77"/>
      <c r="O197" s="77"/>
      <c r="P197" s="77"/>
      <c r="Q197" s="77"/>
      <c r="R197" s="77"/>
      <c r="S197" s="77"/>
      <c r="T197" s="77"/>
      <c r="U197" s="95"/>
      <c r="V197" s="95"/>
      <c r="W197" s="95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</row>
    <row r="198" spans="1:33" ht="14.4" customHeight="1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90"/>
      <c r="K198" s="91"/>
      <c r="L198" s="91"/>
      <c r="M198" s="91"/>
      <c r="N198" s="77"/>
      <c r="O198" s="77"/>
      <c r="P198" s="77"/>
      <c r="Q198" s="77"/>
      <c r="R198" s="77"/>
      <c r="S198" s="77"/>
      <c r="T198" s="77"/>
      <c r="U198" s="95"/>
      <c r="V198" s="95"/>
      <c r="W198" s="95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</row>
    <row r="199" spans="1:33" ht="14.4" customHeigh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90"/>
      <c r="K199" s="91"/>
      <c r="L199" s="91"/>
      <c r="M199" s="91"/>
      <c r="N199" s="77"/>
      <c r="O199" s="77"/>
      <c r="P199" s="77"/>
      <c r="Q199" s="77"/>
      <c r="R199" s="77"/>
      <c r="S199" s="77"/>
      <c r="T199" s="77"/>
      <c r="U199" s="95"/>
      <c r="V199" s="95"/>
      <c r="W199" s="95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</row>
    <row r="200" spans="1:33" ht="14.4" customHeight="1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90"/>
      <c r="K200" s="91"/>
      <c r="L200" s="91"/>
      <c r="M200" s="91"/>
      <c r="N200" s="77"/>
      <c r="O200" s="77"/>
      <c r="P200" s="77"/>
      <c r="Q200" s="77"/>
      <c r="R200" s="77"/>
      <c r="S200" s="77"/>
      <c r="T200" s="77"/>
      <c r="U200" s="95"/>
      <c r="V200" s="95"/>
      <c r="W200" s="95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</row>
    <row r="201" spans="1:33" ht="14.4" customHeight="1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90"/>
      <c r="K201" s="91"/>
      <c r="L201" s="91"/>
      <c r="M201" s="91"/>
      <c r="N201" s="77"/>
      <c r="O201" s="77"/>
      <c r="P201" s="77"/>
      <c r="Q201" s="77"/>
      <c r="R201" s="77"/>
      <c r="S201" s="77"/>
      <c r="T201" s="77"/>
      <c r="U201" s="95"/>
      <c r="V201" s="95"/>
      <c r="W201" s="95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</row>
    <row r="202" spans="1:33" ht="14.4" customHeight="1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90"/>
      <c r="K202" s="91"/>
      <c r="L202" s="91"/>
      <c r="M202" s="91"/>
      <c r="N202" s="77"/>
      <c r="O202" s="77"/>
      <c r="P202" s="77"/>
      <c r="Q202" s="77"/>
      <c r="R202" s="77"/>
      <c r="S202" s="77"/>
      <c r="T202" s="77"/>
      <c r="U202" s="95"/>
      <c r="V202" s="95"/>
      <c r="W202" s="95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</row>
    <row r="203" spans="1:33" ht="14.4" customHeight="1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90"/>
      <c r="K203" s="91"/>
      <c r="L203" s="91"/>
      <c r="M203" s="91"/>
      <c r="N203" s="77"/>
      <c r="O203" s="77"/>
      <c r="P203" s="77"/>
      <c r="Q203" s="77"/>
      <c r="R203" s="77"/>
      <c r="S203" s="77"/>
      <c r="T203" s="77"/>
      <c r="U203" s="95"/>
      <c r="V203" s="95"/>
      <c r="W203" s="95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</row>
    <row r="204" spans="1:33" ht="14.4" customHeight="1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90"/>
      <c r="K204" s="91"/>
      <c r="L204" s="91"/>
      <c r="M204" s="91"/>
      <c r="N204" s="77"/>
      <c r="O204" s="77"/>
      <c r="P204" s="77"/>
      <c r="Q204" s="77"/>
      <c r="R204" s="77"/>
      <c r="S204" s="77"/>
      <c r="T204" s="77"/>
      <c r="U204" s="95"/>
      <c r="V204" s="95"/>
      <c r="W204" s="95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</row>
    <row r="205" spans="1:33" ht="14.4" customHeight="1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90"/>
      <c r="K205" s="91"/>
      <c r="L205" s="91"/>
      <c r="M205" s="91"/>
      <c r="N205" s="77"/>
      <c r="O205" s="77"/>
      <c r="P205" s="77"/>
      <c r="Q205" s="77"/>
      <c r="R205" s="77"/>
      <c r="S205" s="77"/>
      <c r="T205" s="77"/>
      <c r="U205" s="95"/>
      <c r="V205" s="95"/>
      <c r="W205" s="95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</row>
    <row r="206" spans="1:33" ht="14.4" customHeight="1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90"/>
      <c r="K206" s="91"/>
      <c r="L206" s="91"/>
      <c r="M206" s="91"/>
      <c r="N206" s="77"/>
      <c r="O206" s="77"/>
      <c r="P206" s="77"/>
      <c r="Q206" s="77"/>
      <c r="R206" s="77"/>
      <c r="S206" s="77"/>
      <c r="T206" s="77"/>
      <c r="U206" s="95"/>
      <c r="V206" s="95"/>
      <c r="W206" s="95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</row>
    <row r="207" spans="1:33" ht="14.4" customHeight="1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90"/>
      <c r="K207" s="91"/>
      <c r="L207" s="91"/>
      <c r="M207" s="91"/>
      <c r="N207" s="77"/>
      <c r="O207" s="77"/>
      <c r="P207" s="77"/>
      <c r="Q207" s="77"/>
      <c r="R207" s="77"/>
      <c r="S207" s="77"/>
      <c r="T207" s="77"/>
      <c r="U207" s="95"/>
      <c r="V207" s="95"/>
      <c r="W207" s="95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</row>
    <row r="208" spans="1:33" ht="14.4" customHeight="1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90"/>
      <c r="K208" s="91"/>
      <c r="L208" s="91"/>
      <c r="M208" s="91"/>
      <c r="N208" s="77"/>
      <c r="O208" s="77"/>
      <c r="P208" s="77"/>
      <c r="Q208" s="77"/>
      <c r="R208" s="77"/>
      <c r="S208" s="77"/>
      <c r="T208" s="77"/>
      <c r="U208" s="95"/>
      <c r="V208" s="95"/>
      <c r="W208" s="95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</row>
    <row r="209" spans="1:33" ht="14.4" customHeight="1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90"/>
      <c r="K209" s="91"/>
      <c r="L209" s="91"/>
      <c r="M209" s="91"/>
      <c r="N209" s="77"/>
      <c r="O209" s="77"/>
      <c r="P209" s="77"/>
      <c r="Q209" s="77"/>
      <c r="R209" s="77"/>
      <c r="S209" s="77"/>
      <c r="T209" s="77"/>
      <c r="U209" s="95"/>
      <c r="V209" s="95"/>
      <c r="W209" s="95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</row>
    <row r="210" spans="1:33" ht="14.4" customHeight="1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90"/>
      <c r="K210" s="91"/>
      <c r="L210" s="91"/>
      <c r="M210" s="91"/>
      <c r="N210" s="77"/>
      <c r="O210" s="77"/>
      <c r="P210" s="77"/>
      <c r="Q210" s="77"/>
      <c r="R210" s="77"/>
      <c r="S210" s="77"/>
      <c r="T210" s="77"/>
      <c r="U210" s="95"/>
      <c r="V210" s="95"/>
      <c r="W210" s="95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</row>
    <row r="211" spans="1:33" ht="14.4" customHeight="1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90"/>
      <c r="K211" s="91"/>
      <c r="L211" s="91"/>
      <c r="M211" s="91"/>
      <c r="N211" s="77"/>
      <c r="O211" s="77"/>
      <c r="P211" s="77"/>
      <c r="Q211" s="77"/>
      <c r="R211" s="77"/>
      <c r="S211" s="77"/>
      <c r="T211" s="77"/>
      <c r="U211" s="95"/>
      <c r="V211" s="95"/>
      <c r="W211" s="95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</row>
    <row r="212" spans="1:33" ht="14.4" customHeight="1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90"/>
      <c r="K212" s="91"/>
      <c r="L212" s="91"/>
      <c r="M212" s="91"/>
      <c r="N212" s="77"/>
      <c r="O212" s="77"/>
      <c r="P212" s="77"/>
      <c r="Q212" s="77"/>
      <c r="R212" s="77"/>
      <c r="S212" s="77"/>
      <c r="T212" s="77"/>
      <c r="U212" s="95"/>
      <c r="V212" s="95"/>
      <c r="W212" s="95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</row>
    <row r="213" spans="1:33" ht="14.4" customHeight="1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90"/>
      <c r="K213" s="91"/>
      <c r="L213" s="91"/>
      <c r="M213" s="91"/>
      <c r="N213" s="77"/>
      <c r="O213" s="77"/>
      <c r="P213" s="77"/>
      <c r="Q213" s="77"/>
      <c r="R213" s="77"/>
      <c r="S213" s="77"/>
      <c r="T213" s="77"/>
      <c r="U213" s="95"/>
      <c r="V213" s="95"/>
      <c r="W213" s="95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</row>
    <row r="214" spans="1:33" ht="14.4" customHeigh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90"/>
      <c r="K214" s="91"/>
      <c r="L214" s="91"/>
      <c r="M214" s="91"/>
      <c r="N214" s="77"/>
      <c r="O214" s="77"/>
      <c r="P214" s="77"/>
      <c r="Q214" s="77"/>
      <c r="R214" s="77"/>
      <c r="S214" s="77"/>
      <c r="T214" s="77"/>
      <c r="U214" s="95"/>
      <c r="V214" s="95"/>
      <c r="W214" s="95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</row>
    <row r="215" spans="1:33" ht="14.4" customHeight="1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90"/>
      <c r="K215" s="91"/>
      <c r="L215" s="91"/>
      <c r="M215" s="91"/>
      <c r="N215" s="77"/>
      <c r="O215" s="77"/>
      <c r="P215" s="77"/>
      <c r="Q215" s="77"/>
      <c r="R215" s="77"/>
      <c r="S215" s="77"/>
      <c r="T215" s="77"/>
      <c r="U215" s="95"/>
      <c r="V215" s="95"/>
      <c r="W215" s="95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</row>
    <row r="216" spans="1:33" ht="14.4" customHeight="1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90"/>
      <c r="K216" s="91"/>
      <c r="L216" s="91"/>
      <c r="M216" s="91"/>
      <c r="N216" s="77"/>
      <c r="O216" s="77"/>
      <c r="P216" s="77"/>
      <c r="Q216" s="77"/>
      <c r="R216" s="77"/>
      <c r="S216" s="77"/>
      <c r="T216" s="77"/>
      <c r="U216" s="95"/>
      <c r="V216" s="95"/>
      <c r="W216" s="95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</row>
    <row r="217" spans="1:33" ht="14.4" customHeight="1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90"/>
      <c r="K217" s="91"/>
      <c r="L217" s="91"/>
      <c r="M217" s="91"/>
      <c r="N217" s="77"/>
      <c r="O217" s="77"/>
      <c r="P217" s="77"/>
      <c r="Q217" s="77"/>
      <c r="R217" s="77"/>
      <c r="S217" s="77"/>
      <c r="T217" s="77"/>
      <c r="U217" s="95"/>
      <c r="V217" s="95"/>
      <c r="W217" s="95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</row>
    <row r="218" spans="1:33" ht="14.4" customHeight="1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90"/>
      <c r="K218" s="91"/>
      <c r="L218" s="91"/>
      <c r="M218" s="91"/>
      <c r="N218" s="77"/>
      <c r="O218" s="77"/>
      <c r="P218" s="77"/>
      <c r="Q218" s="77"/>
      <c r="R218" s="77"/>
      <c r="S218" s="77"/>
      <c r="T218" s="77"/>
      <c r="U218" s="95"/>
      <c r="V218" s="95"/>
      <c r="W218" s="95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</row>
    <row r="219" spans="1:33" ht="14.4" customHeight="1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90"/>
      <c r="K219" s="91"/>
      <c r="L219" s="91"/>
      <c r="M219" s="91"/>
      <c r="N219" s="77"/>
      <c r="O219" s="77"/>
      <c r="P219" s="77"/>
      <c r="Q219" s="77"/>
      <c r="R219" s="77"/>
      <c r="S219" s="77"/>
      <c r="T219" s="77"/>
      <c r="U219" s="95"/>
      <c r="V219" s="95"/>
      <c r="W219" s="95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</row>
    <row r="220" spans="1:33" ht="14.4" customHeight="1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90"/>
      <c r="K220" s="91"/>
      <c r="L220" s="91"/>
      <c r="M220" s="91"/>
      <c r="N220" s="77"/>
      <c r="O220" s="77"/>
      <c r="P220" s="77"/>
      <c r="Q220" s="77"/>
      <c r="R220" s="77"/>
      <c r="S220" s="77"/>
      <c r="T220" s="77"/>
      <c r="U220" s="95"/>
      <c r="V220" s="95"/>
      <c r="W220" s="95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</row>
    <row r="221" spans="1:33" ht="14.4" customHeight="1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90"/>
      <c r="K221" s="91"/>
      <c r="L221" s="91"/>
      <c r="M221" s="91"/>
      <c r="N221" s="77"/>
      <c r="O221" s="77"/>
      <c r="P221" s="77"/>
      <c r="Q221" s="77"/>
      <c r="R221" s="77"/>
      <c r="S221" s="77"/>
      <c r="T221" s="77"/>
      <c r="U221" s="95"/>
      <c r="V221" s="95"/>
      <c r="W221" s="95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</row>
    <row r="222" spans="1:33" ht="14.4" customHeight="1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90"/>
      <c r="K222" s="91"/>
      <c r="L222" s="91"/>
      <c r="M222" s="91"/>
      <c r="N222" s="77"/>
      <c r="O222" s="77"/>
      <c r="P222" s="77"/>
      <c r="Q222" s="77"/>
      <c r="R222" s="77"/>
      <c r="S222" s="77"/>
      <c r="T222" s="77"/>
      <c r="U222" s="95"/>
      <c r="V222" s="95"/>
      <c r="W222" s="95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</row>
    <row r="223" spans="1:33" ht="14.4" customHeight="1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90"/>
      <c r="K223" s="91"/>
      <c r="L223" s="91"/>
      <c r="M223" s="91"/>
      <c r="N223" s="77"/>
      <c r="O223" s="77"/>
      <c r="P223" s="77"/>
      <c r="Q223" s="77"/>
      <c r="R223" s="77"/>
      <c r="S223" s="77"/>
      <c r="T223" s="77"/>
      <c r="U223" s="95"/>
      <c r="V223" s="95"/>
      <c r="W223" s="95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</row>
    <row r="224" spans="1:33" ht="14.4" customHeight="1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</row>
    <row r="225" spans="1:33" ht="14.4" customHeight="1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</row>
    <row r="226" spans="1:33" ht="14.4" customHeight="1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</row>
    <row r="227" spans="1:33" ht="14.4" customHeight="1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</row>
    <row r="228" spans="1:33" ht="14.4" customHeight="1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</row>
    <row r="229" spans="1:33" ht="14.4" customHeigh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</row>
    <row r="230" spans="1:33" ht="14.4" customHeight="1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</row>
    <row r="231" spans="1:33" ht="14.4" customHeight="1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</row>
    <row r="232" spans="1:33" ht="14.4" customHeight="1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</row>
    <row r="233" spans="1:33" ht="14.4" customHeight="1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</row>
    <row r="234" spans="1:33" ht="14.4" customHeight="1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</row>
    <row r="235" spans="1:33" ht="14.4" customHeight="1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</row>
    <row r="236" spans="1:33" ht="14.4" customHeight="1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</row>
    <row r="237" spans="1:33" ht="14.4" customHeight="1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</row>
    <row r="238" spans="1:33" ht="14.4" customHeight="1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</row>
    <row r="239" spans="1:33" ht="14.4" customHeight="1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</row>
    <row r="240" spans="1:33" ht="14.4" customHeight="1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</row>
    <row r="241" spans="1:33" ht="14.4" customHeight="1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</row>
    <row r="242" spans="1:33" ht="14.4" customHeight="1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</row>
    <row r="243" spans="1:33" ht="14.4" customHeight="1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</row>
    <row r="244" spans="1:33" ht="14.4" customHeigh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</row>
    <row r="245" spans="1:33" ht="14.4" customHeight="1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</row>
    <row r="246" spans="1:33" ht="14.4" customHeight="1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</row>
    <row r="247" spans="1:33" ht="14.4" customHeight="1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</row>
    <row r="248" spans="1:33" ht="14.4" customHeight="1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</row>
    <row r="249" spans="1:33" ht="14.4" customHeight="1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</row>
    <row r="250" spans="1:33" ht="14.4" customHeight="1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</row>
    <row r="251" spans="1:33" ht="14.4" customHeight="1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</row>
    <row r="252" spans="1:33" ht="14.4" customHeight="1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</row>
    <row r="253" spans="1:33" ht="14.4" customHeight="1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</row>
    <row r="254" spans="1:33" ht="14.4" customHeight="1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</row>
    <row r="255" spans="1:33" ht="14.4" customHeight="1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</row>
    <row r="256" spans="1:33" ht="14.4" customHeight="1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</row>
    <row r="257" spans="1:33" ht="14.4" customHeight="1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</row>
    <row r="258" spans="1:33" ht="14.4" customHeight="1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</row>
    <row r="259" spans="1:33" ht="14.4" customHeigh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</row>
    <row r="260" spans="1:33" ht="14.4" customHeight="1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</row>
    <row r="261" spans="1:33" ht="14.4" customHeight="1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</row>
    <row r="262" spans="1:33" ht="14.4" customHeight="1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</row>
    <row r="263" spans="1:33" ht="14.4" customHeight="1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</row>
    <row r="264" spans="1:33" ht="14.4" customHeight="1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</row>
    <row r="265" spans="1:33" ht="14.4" customHeight="1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</row>
    <row r="266" spans="1:33" ht="14.4" customHeight="1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</row>
    <row r="267" spans="1:33" ht="14.4" customHeight="1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</row>
    <row r="268" spans="1:33" ht="14.4" customHeight="1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</row>
    <row r="269" spans="1:33" ht="14.4" customHeight="1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</row>
    <row r="270" spans="1:33" ht="14.4" customHeight="1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</row>
    <row r="271" spans="1:33" ht="14.4" customHeight="1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</row>
    <row r="272" spans="1:33" ht="14.4" customHeight="1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</row>
    <row r="273" spans="1:33" ht="14.4" customHeight="1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</row>
    <row r="274" spans="1:33" ht="14.4" customHeigh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</row>
    <row r="275" spans="1:33" ht="14.4" customHeight="1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</row>
    <row r="276" spans="1:33" ht="14.4" customHeight="1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</row>
    <row r="277" spans="1:33" ht="14.4" customHeight="1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</row>
    <row r="278" spans="1:33" ht="14.4" customHeight="1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</row>
    <row r="279" spans="1:33" ht="14.4" customHeight="1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</row>
    <row r="280" spans="1:33" ht="14.4" customHeight="1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</row>
    <row r="281" spans="1:33" ht="14.4" customHeight="1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</row>
    <row r="282" spans="1:33" ht="14.4" customHeight="1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</row>
    <row r="283" spans="1:33" ht="14.4" customHeight="1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</row>
    <row r="284" spans="1:33" ht="14.4" customHeight="1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</row>
    <row r="285" spans="1:33" ht="14.4" customHeight="1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</row>
    <row r="286" spans="1:33" ht="14.4" customHeight="1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</row>
    <row r="287" spans="1:33" ht="14.4" customHeight="1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</row>
    <row r="288" spans="1:33" ht="14.4" customHeight="1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</row>
    <row r="289" spans="1:33" ht="14.4" customHeigh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</row>
    <row r="290" spans="1:33" ht="14.4" customHeight="1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</row>
    <row r="291" spans="1:33" ht="14.4" customHeight="1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</row>
    <row r="292" spans="1:33" ht="14.4" customHeight="1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</row>
    <row r="293" spans="1:33" ht="14.4" customHeight="1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</row>
    <row r="294" spans="1:33" ht="14.4" customHeight="1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</row>
    <row r="295" spans="1:33" ht="14.4" customHeight="1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</row>
    <row r="296" spans="1:33" ht="14.4" customHeight="1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</row>
    <row r="297" spans="1:33" ht="14.4" customHeight="1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</row>
    <row r="298" spans="1:33" ht="14.4" customHeight="1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</row>
    <row r="299" spans="1:33" ht="14.4" customHeight="1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</row>
    <row r="300" spans="1:33" ht="14.4" customHeight="1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</row>
    <row r="301" spans="1:33" ht="14.4" customHeight="1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</row>
    <row r="302" spans="1:33" ht="14.4" customHeight="1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</row>
    <row r="303" spans="1:33" ht="14.4" customHeight="1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</row>
    <row r="304" spans="1:33" ht="14.4" customHeigh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</row>
    <row r="305" spans="1:33" ht="14.4" customHeight="1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</row>
    <row r="306" spans="1:33" ht="14.4" customHeight="1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</row>
    <row r="307" spans="1:33" ht="14.4" customHeight="1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</row>
    <row r="308" spans="1:33" ht="14.4" customHeight="1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</row>
    <row r="309" spans="1:33" ht="14.4" customHeight="1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</row>
    <row r="310" spans="1:33" ht="14.4" customHeight="1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</row>
    <row r="311" spans="1:33" ht="14.4" customHeight="1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</row>
    <row r="312" spans="1:33" ht="14.4" customHeight="1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</row>
    <row r="313" spans="1:33" ht="14.4" customHeight="1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</row>
    <row r="314" spans="1:33" ht="14.4" customHeight="1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</row>
    <row r="315" spans="1:33" ht="14.4" customHeight="1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</row>
    <row r="316" spans="1:33" ht="14.4" customHeight="1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</row>
    <row r="317" spans="1:33" ht="14.4" customHeight="1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</row>
    <row r="318" spans="1:33" ht="14.4" customHeight="1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</row>
    <row r="319" spans="1:33" ht="14.4" customHeigh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</row>
    <row r="320" spans="1:33" ht="14.4" customHeight="1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</row>
    <row r="321" spans="1:33" ht="14.4" customHeight="1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</row>
    <row r="322" spans="1:33" ht="14.4" customHeight="1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</row>
    <row r="323" spans="1:33" ht="14.4" customHeight="1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</row>
    <row r="324" spans="1:33" ht="14.4" customHeight="1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</row>
    <row r="325" spans="1:33" ht="14.4" customHeight="1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</row>
    <row r="326" spans="1:33" ht="14.4" customHeight="1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</row>
    <row r="327" spans="1:33" ht="14.4" customHeight="1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</row>
    <row r="328" spans="1:33" ht="14.4" customHeight="1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</row>
    <row r="329" spans="1:33" ht="14.4" customHeight="1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</row>
    <row r="330" spans="1:33" ht="14.4" customHeight="1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</row>
    <row r="331" spans="1:33" ht="14.4" customHeight="1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</row>
    <row r="332" spans="1:33" ht="14.4" customHeight="1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</row>
    <row r="333" spans="1:33" ht="14.4" customHeight="1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</row>
    <row r="334" spans="1:33" ht="14.4" customHeigh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</row>
    <row r="335" spans="1:33" ht="14.4" customHeight="1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</row>
    <row r="336" spans="1:33" ht="14.4" customHeight="1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</row>
    <row r="337" spans="1:33" ht="14.4" customHeight="1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</row>
    <row r="338" spans="1:33" ht="14.4" customHeight="1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</row>
    <row r="339" spans="1:33" ht="14.4" customHeight="1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</row>
    <row r="340" spans="1:33" ht="14.4" customHeight="1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</row>
    <row r="341" spans="1:33" ht="14.4" customHeight="1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</row>
    <row r="342" spans="1:33" ht="14.4" customHeight="1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</row>
    <row r="343" spans="1:33" ht="14.4" customHeight="1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</row>
    <row r="344" spans="1:33" ht="14.4" customHeight="1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</row>
    <row r="345" spans="1:33" ht="14.4" customHeight="1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</row>
    <row r="346" spans="1:33" ht="14.4" customHeight="1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</row>
    <row r="347" spans="1:33" ht="14.4" customHeight="1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</row>
    <row r="348" spans="1:33" ht="14.4" customHeight="1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</row>
    <row r="349" spans="1:33" ht="14.4" customHeigh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</row>
    <row r="350" spans="1:33" ht="14.4" customHeight="1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</row>
    <row r="351" spans="1:33" ht="14.4" customHeight="1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</row>
    <row r="352" spans="1:33" ht="14.4" customHeight="1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</row>
    <row r="353" spans="1:33" ht="14.4" customHeight="1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</row>
    <row r="354" spans="1:33" ht="14.4" customHeight="1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</row>
    <row r="355" spans="1:33" ht="14.4" customHeight="1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</row>
    <row r="356" spans="1:33" ht="14.4" customHeight="1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</row>
    <row r="357" spans="1:33" ht="14.4" customHeight="1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</row>
    <row r="358" spans="1:33" ht="14.4" customHeight="1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</row>
    <row r="359" spans="1:33" ht="14.4" customHeight="1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</row>
    <row r="360" spans="1:33" ht="14.4" customHeight="1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</row>
    <row r="361" spans="1:33" ht="14.4" customHeight="1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</row>
    <row r="362" spans="1:33" ht="14.4" customHeight="1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</row>
    <row r="363" spans="1:33" ht="14.4" customHeight="1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</row>
    <row r="364" spans="1:33" ht="14.4" customHeight="1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</row>
    <row r="365" spans="1:33" ht="14.4" customHeight="1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</row>
    <row r="366" spans="1:33" ht="14.4" customHeight="1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</row>
    <row r="367" spans="1:33" ht="14.4" customHeight="1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</row>
    <row r="368" spans="1:33" ht="14.4" customHeight="1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</row>
    <row r="369" spans="1:33" ht="14.4" customHeight="1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</row>
    <row r="370" spans="1:33" ht="14.4" customHeight="1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</row>
    <row r="371" spans="1:33" ht="14.4" customHeight="1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</row>
    <row r="372" spans="1:33" ht="14.4" customHeight="1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</row>
    <row r="373" spans="1:33" ht="14.4" customHeight="1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</row>
    <row r="374" spans="1:33" ht="14.4" customHeight="1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</row>
    <row r="375" spans="1:33" ht="14.4" customHeight="1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</row>
    <row r="376" spans="1:33" ht="14.4" customHeight="1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</row>
    <row r="377" spans="1:33" ht="14.4" customHeight="1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</row>
    <row r="378" spans="1:33" ht="14.4" customHeight="1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</row>
    <row r="379" spans="1:33" ht="14.4" customHeight="1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</row>
    <row r="380" spans="1:33" ht="14.4" customHeight="1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</row>
    <row r="381" spans="1:33" ht="14.4" customHeight="1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</row>
    <row r="382" spans="1:33" ht="14.4" customHeight="1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</row>
    <row r="383" spans="1:33" ht="14.4" customHeight="1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</row>
    <row r="384" spans="1:33" ht="14.4" customHeight="1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</row>
    <row r="385" spans="1:33" ht="14.4" customHeight="1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</row>
    <row r="386" spans="1:33" ht="14.4" customHeight="1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</row>
    <row r="387" spans="1:33" ht="14.4" customHeight="1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</row>
    <row r="388" spans="1:33" ht="14.4" customHeight="1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</row>
    <row r="389" spans="1:33" ht="14.4" customHeight="1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</row>
    <row r="390" spans="1:33" ht="14.4" customHeight="1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</row>
    <row r="391" spans="1:33" ht="14.4" customHeight="1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</row>
    <row r="392" spans="1:33" ht="14.4" customHeight="1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</row>
    <row r="393" spans="1:33" ht="14.4" customHeight="1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</row>
    <row r="394" spans="1:33" ht="14.4" customHeight="1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</row>
    <row r="395" spans="1:33" ht="14.4" customHeight="1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</row>
    <row r="396" spans="1:33" ht="14.4" customHeight="1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</row>
    <row r="397" spans="1:33" ht="14.4" customHeight="1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</row>
    <row r="398" spans="1:33" ht="14.4" customHeight="1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</row>
    <row r="399" spans="1:33" ht="14.4" customHeight="1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</row>
    <row r="400" spans="1:33" ht="14.4" customHeight="1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</row>
    <row r="401" spans="1:33" ht="14.4" customHeight="1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</row>
    <row r="402" spans="1:33" ht="14.4" customHeight="1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</row>
    <row r="403" spans="1:33" ht="14.4" customHeight="1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</row>
    <row r="404" spans="1:33" ht="14.4" customHeight="1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</row>
    <row r="405" spans="1:33" ht="14.4" customHeight="1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</row>
    <row r="406" spans="1:33" ht="14.4" customHeight="1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</row>
    <row r="407" spans="1:33" ht="14.4" customHeight="1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</row>
    <row r="408" spans="1:33" ht="14.4" customHeight="1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</row>
    <row r="409" spans="1:33" ht="14.4" customHeight="1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</row>
    <row r="410" spans="1:33" ht="14.4" customHeight="1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</row>
    <row r="411" spans="1:33" ht="14.4" customHeight="1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</row>
    <row r="412" spans="1:33" ht="14.4" customHeight="1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</row>
    <row r="413" spans="1:33" ht="14.4" customHeight="1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</row>
    <row r="414" spans="1:33" ht="14.4" customHeight="1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</row>
    <row r="415" spans="1:33" ht="14.4" customHeight="1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</row>
    <row r="416" spans="1:33" ht="14.4" customHeight="1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</row>
    <row r="417" spans="1:33" ht="14.4" customHeight="1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</row>
    <row r="418" spans="1:33" ht="14.4" customHeight="1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</row>
    <row r="419" spans="1:33" ht="14.4" customHeight="1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</row>
    <row r="420" spans="1:33" ht="14.4" customHeight="1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</row>
    <row r="421" spans="1:33" ht="14.4" customHeight="1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</row>
    <row r="422" spans="1:33" ht="14.4" customHeight="1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</row>
    <row r="423" spans="1:33" ht="14.4" customHeight="1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</row>
    <row r="424" spans="1:33" ht="14.4" customHeight="1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</row>
    <row r="425" spans="1:33" ht="14.4" customHeight="1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</row>
    <row r="426" spans="1:33" ht="14.4" customHeight="1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</row>
    <row r="427" spans="1:33" ht="14.4" customHeight="1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</row>
    <row r="428" spans="1:33" ht="14.4" customHeight="1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</row>
    <row r="429" spans="1:33" ht="14.4" customHeight="1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</row>
    <row r="430" spans="1:33" ht="14.4" customHeight="1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</row>
    <row r="431" spans="1:33" ht="14.4" customHeight="1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</row>
    <row r="432" spans="1:33" ht="14.4" customHeight="1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</row>
    <row r="433" spans="1:33" ht="14.4" customHeight="1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</row>
    <row r="434" spans="1:33" ht="14.4" customHeight="1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</row>
    <row r="435" spans="1:33" ht="14.4" customHeight="1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</row>
    <row r="436" spans="1:33" ht="14.4" customHeight="1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</row>
    <row r="437" spans="1:33" ht="14.4" customHeight="1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</row>
    <row r="438" spans="1:33" ht="14.4" customHeight="1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</row>
    <row r="439" spans="1:33" ht="14.4" customHeight="1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</row>
    <row r="440" spans="1:33" ht="14.4" customHeight="1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</row>
    <row r="441" spans="1:33" ht="14.4" customHeight="1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</row>
    <row r="442" spans="1:33" ht="14.4" customHeight="1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</row>
    <row r="443" spans="1:33" ht="14.4" customHeight="1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</row>
    <row r="444" spans="1:33" ht="14.4" customHeight="1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</row>
    <row r="445" spans="1:33" ht="14.4" customHeight="1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</row>
    <row r="446" spans="1:33" ht="14.4" customHeight="1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</row>
    <row r="447" spans="1:33" ht="14.4" customHeight="1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</row>
    <row r="448" spans="1:33" ht="14.4" customHeight="1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</row>
    <row r="449" spans="1:33" ht="14.4" customHeight="1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</row>
    <row r="450" spans="1:33" ht="14.4" customHeight="1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</row>
    <row r="451" spans="1:33" ht="14.4" customHeight="1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</row>
    <row r="452" spans="1:33" ht="14.4" customHeight="1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</row>
    <row r="453" spans="1:33" ht="14.4" customHeight="1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</row>
    <row r="454" spans="1:33" ht="14.4" customHeight="1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</row>
    <row r="455" spans="1:33" ht="14.4" customHeight="1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</row>
    <row r="456" spans="1:33" ht="14.4" customHeight="1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</row>
    <row r="457" spans="1:33" ht="14.4" customHeight="1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</row>
    <row r="458" spans="1:33" ht="14.4" customHeight="1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</row>
    <row r="459" spans="1:33" ht="14.4" customHeight="1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</row>
    <row r="460" spans="1:33" ht="14.4" customHeight="1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</row>
    <row r="461" spans="1:33" ht="14.4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</row>
    <row r="462" spans="1:33" ht="14.4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</row>
    <row r="463" spans="1:33" ht="14.4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</row>
    <row r="464" spans="1:33" ht="14.4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</row>
    <row r="465" spans="1:33" ht="14.4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</row>
    <row r="466" spans="1:33" ht="14.4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</row>
    <row r="467" spans="1:33" ht="14.4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</row>
    <row r="468" spans="1:33" ht="14.4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</row>
    <row r="469" spans="1:33" ht="14.4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</row>
    <row r="470" spans="1:33" ht="14.4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</row>
    <row r="471" spans="1:33" ht="14.4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</row>
    <row r="472" spans="1:33" ht="14.4" customHeight="1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</row>
    <row r="473" spans="1:33" ht="14.4" customHeight="1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</row>
    <row r="474" spans="1:33" ht="14.4" customHeight="1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</row>
    <row r="475" spans="1:33" ht="14.4" customHeight="1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</row>
    <row r="476" spans="1:33" ht="14.4" customHeight="1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</row>
    <row r="477" spans="1:33" ht="14.4" customHeight="1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</row>
    <row r="478" spans="1:33" ht="14.4" customHeight="1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</row>
    <row r="479" spans="1:33" ht="14.4" customHeight="1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</row>
    <row r="480" spans="1:33" ht="14.4" customHeight="1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</row>
    <row r="481" spans="1:33" ht="14.4" customHeight="1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</row>
    <row r="482" spans="1:33" ht="14.4" customHeight="1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</row>
    <row r="483" spans="1:33" ht="14.4" customHeight="1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</row>
    <row r="484" spans="1:33" ht="14.4" customHeight="1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</row>
    <row r="485" spans="1:33" ht="14.4" customHeight="1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</row>
    <row r="486" spans="1:33" ht="14.4" customHeight="1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</row>
    <row r="487" spans="1:33" ht="14.4" customHeight="1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</row>
    <row r="488" spans="1:33" ht="14.4" customHeight="1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</row>
    <row r="489" spans="1:33" ht="14.4" customHeight="1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</row>
    <row r="490" spans="1:33" ht="14.4" customHeight="1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</row>
    <row r="491" spans="1:33" ht="14.4" customHeight="1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</row>
    <row r="492" spans="1:33" ht="14.4" customHeight="1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</row>
    <row r="493" spans="1:33" ht="14.4" customHeight="1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</row>
    <row r="494" spans="1:33" ht="14.4" customHeight="1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</row>
    <row r="495" spans="1:33" ht="14.4" customHeight="1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</row>
    <row r="496" spans="1:33" ht="14.4" customHeight="1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</row>
    <row r="497" spans="1:33" ht="14.4" customHeight="1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</row>
    <row r="498" spans="1:33" ht="14.4" customHeight="1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</row>
    <row r="499" spans="1:33" ht="14.4" customHeight="1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</row>
    <row r="500" spans="1:33" ht="14.4" customHeight="1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</row>
    <row r="501" spans="1:33" ht="14.4" customHeight="1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</row>
    <row r="502" spans="1:33" ht="14.4" customHeight="1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</row>
    <row r="503" spans="1:33" ht="14.4" customHeight="1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</row>
    <row r="504" spans="1:33" ht="14.4" customHeight="1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</row>
    <row r="505" spans="1:33" ht="14.4" customHeight="1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</row>
    <row r="506" spans="1:33" ht="14.4" customHeight="1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</row>
    <row r="507" spans="1:33" ht="14.4" customHeight="1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</row>
    <row r="508" spans="1:33" ht="14.4" customHeight="1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</row>
    <row r="509" spans="1:33" ht="14.4" customHeight="1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</row>
    <row r="510" spans="1:33" ht="14.4" customHeight="1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</row>
    <row r="511" spans="1:33" ht="14.4" customHeight="1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</row>
    <row r="512" spans="1:33" ht="14.4" customHeight="1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</row>
    <row r="513" spans="1:33" ht="14.4" customHeight="1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</row>
    <row r="514" spans="1:33" ht="14.4" customHeight="1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</row>
    <row r="515" spans="1:33" ht="14.4" customHeight="1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</row>
    <row r="516" spans="1:33" ht="14.4" customHeight="1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</row>
    <row r="517" spans="1:33" ht="14.4" customHeight="1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</row>
    <row r="518" spans="1:33" ht="14.4" customHeight="1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</row>
    <row r="519" spans="1:33" ht="14.4" customHeight="1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</row>
    <row r="520" spans="1:33" ht="14.4" customHeight="1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</row>
    <row r="521" spans="1:33" ht="14.4" customHeight="1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</row>
    <row r="522" spans="1:33" ht="14.4" customHeight="1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</row>
    <row r="523" spans="1:33" ht="14.4" customHeight="1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</row>
    <row r="524" spans="1:33" ht="14.4" customHeight="1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</row>
    <row r="525" spans="1:33" ht="14.4" customHeight="1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</row>
    <row r="526" spans="1:33" ht="14.4" customHeight="1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</row>
    <row r="527" spans="1:33" ht="14.4" customHeight="1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</row>
    <row r="528" spans="1:33" ht="14.4" customHeight="1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</row>
    <row r="529" spans="1:33" ht="14.4" customHeight="1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</row>
    <row r="530" spans="1:33" ht="14.4" customHeight="1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</row>
    <row r="531" spans="1:33" ht="14.4" customHeight="1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</row>
    <row r="532" spans="1:33" ht="14.4" customHeight="1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</row>
    <row r="533" spans="1:33" ht="14.4" customHeight="1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</row>
    <row r="534" spans="1:33" ht="14.4" customHeight="1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</row>
    <row r="535" spans="1:33" ht="14.4" customHeight="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</row>
    <row r="536" spans="1:33" ht="14.4" customHeight="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</row>
    <row r="537" spans="1:33" ht="14.4" customHeight="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</row>
    <row r="538" spans="1:33" ht="14.4" customHeight="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</row>
    <row r="539" spans="1:33" ht="14.4" customHeight="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</row>
    <row r="540" spans="1:33" ht="14.4" customHeight="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</row>
    <row r="541" spans="1:33" ht="14.4" customHeight="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</row>
    <row r="542" spans="1:33" ht="14.4" customHeight="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</row>
    <row r="543" spans="1:33" ht="14.4" customHeight="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</row>
    <row r="544" spans="1:33" ht="14.4" customHeight="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</row>
    <row r="545" spans="1:33" ht="14.4" customHeight="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</row>
    <row r="546" spans="1:33" ht="14.4" customHeight="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</row>
    <row r="547" spans="1:33" ht="14.4" customHeight="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</row>
    <row r="548" spans="1:33" ht="14.4" customHeight="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</row>
    <row r="549" spans="1:33" ht="14.4" customHeight="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</row>
    <row r="550" spans="1:33" ht="14.4" customHeight="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</row>
    <row r="551" spans="1:33" ht="14.4" customHeight="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</row>
    <row r="552" spans="1:33" ht="14.4" customHeight="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</row>
    <row r="553" spans="1:33" ht="14.4" customHeight="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</row>
    <row r="554" spans="1:33" ht="14.4" customHeight="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</row>
    <row r="555" spans="1:33" ht="14.4" customHeight="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</row>
    <row r="556" spans="1:33" ht="14.4" customHeight="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</row>
    <row r="557" spans="1:33" ht="14.4" customHeight="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</row>
    <row r="558" spans="1:33" ht="14.4" customHeight="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</row>
    <row r="559" spans="1:33" ht="14.4" customHeight="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</row>
    <row r="560" spans="1:33" ht="14.4" customHeight="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</row>
    <row r="561" spans="1:33" ht="14.4" customHeight="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</row>
    <row r="562" spans="1:33" ht="14.4" customHeight="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</row>
    <row r="563" spans="1:33" ht="14.4" customHeight="1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</row>
    <row r="564" spans="1:33" ht="14.4" customHeight="1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</row>
    <row r="565" spans="1:33" ht="14.4" customHeight="1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</row>
    <row r="566" spans="1:33" ht="14.4" customHeight="1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</row>
    <row r="567" spans="1:33" ht="14.4" customHeight="1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</row>
    <row r="568" spans="1:33" ht="14.4" customHeight="1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</row>
    <row r="569" spans="1:33" ht="14.4" customHeight="1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</row>
    <row r="570" spans="1:33" ht="14.4" customHeight="1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</row>
    <row r="571" spans="1:33" ht="14.4" customHeight="1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</row>
    <row r="572" spans="1:33" ht="14.4" customHeight="1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</row>
    <row r="573" spans="1:33" ht="14.4" customHeight="1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</row>
    <row r="574" spans="1:33" ht="14.4" customHeight="1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</row>
    <row r="575" spans="1:33" ht="14.4" customHeight="1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</row>
    <row r="576" spans="1:33" ht="14.4" customHeight="1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</row>
    <row r="577" spans="1:33" ht="14.4" customHeight="1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</row>
    <row r="578" spans="1:33" ht="14.4" customHeight="1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</row>
    <row r="579" spans="1:33" ht="14.4" customHeight="1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</row>
    <row r="580" spans="1:33" ht="14.4" customHeight="1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</row>
    <row r="581" spans="1:33" ht="14.4" customHeight="1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</row>
    <row r="582" spans="1:33" ht="14.4" customHeight="1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</row>
    <row r="583" spans="1:33" ht="14.4" customHeight="1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</row>
    <row r="584" spans="1:33" ht="14.4" customHeight="1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</row>
    <row r="585" spans="1:33" ht="14.4" customHeight="1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</row>
    <row r="586" spans="1:33" ht="14.4" customHeight="1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</row>
    <row r="587" spans="1:33" ht="14.4" customHeight="1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</row>
    <row r="588" spans="1:33" ht="14.4" customHeight="1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</row>
    <row r="589" spans="1:33" ht="14.4" customHeight="1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</row>
    <row r="590" spans="1:33" ht="14.4" customHeight="1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</row>
    <row r="591" spans="1:33" ht="14.4" customHeight="1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</row>
    <row r="592" spans="1:33" ht="14.4" customHeight="1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</row>
    <row r="593" spans="1:33" ht="14.4" customHeight="1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</row>
    <row r="594" spans="1:33" ht="14.4" customHeight="1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</row>
    <row r="595" spans="1:33" ht="14.4" customHeight="1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</row>
    <row r="596" spans="1:33" ht="14.4" customHeight="1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</row>
    <row r="597" spans="1:33" ht="14.4" customHeight="1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</row>
    <row r="598" spans="1:33" ht="14.4" customHeight="1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</row>
    <row r="599" spans="1:33" ht="14.4" customHeight="1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</row>
    <row r="600" spans="1:33" ht="14.4" customHeight="1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</row>
    <row r="601" spans="1:33" ht="14.4" customHeight="1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</row>
    <row r="602" spans="1:33" ht="14.4" customHeight="1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</row>
    <row r="603" spans="1:33" ht="14.4" customHeight="1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</row>
    <row r="604" spans="1:33" ht="14.4" customHeight="1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</row>
    <row r="605" spans="1:33" ht="14.4" customHeight="1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</row>
    <row r="606" spans="1:33" ht="14.4" customHeight="1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</row>
    <row r="607" spans="1:33" ht="14.4" customHeight="1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</row>
    <row r="608" spans="1:33" ht="14.4" customHeight="1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</row>
    <row r="609" spans="1:33" ht="14.4" customHeight="1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</row>
    <row r="610" spans="1:33" ht="14.4" customHeight="1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</row>
    <row r="611" spans="1:33" ht="14.4" customHeight="1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</row>
    <row r="612" spans="1:33" ht="14.4" customHeight="1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</row>
    <row r="613" spans="1:33" ht="14.4" customHeight="1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</row>
    <row r="614" spans="1:33" ht="14.4" customHeight="1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</row>
    <row r="615" spans="1:33" ht="14.4" customHeight="1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</row>
    <row r="616" spans="1:33" ht="14.4" customHeight="1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</row>
    <row r="617" spans="1:33" ht="14.4" customHeight="1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</row>
    <row r="618" spans="1:33" ht="14.4" customHeight="1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</row>
    <row r="619" spans="1:33" ht="14.4" customHeight="1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</row>
    <row r="620" spans="1:33" ht="14.4" customHeight="1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</row>
    <row r="621" spans="1:33" ht="14.4" customHeight="1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</row>
    <row r="622" spans="1:33" ht="14.4" customHeight="1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</row>
    <row r="623" spans="1:33" ht="14.4" customHeight="1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</row>
    <row r="624" spans="1:33" ht="14.4" customHeight="1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</row>
    <row r="625" spans="1:33" ht="14.4" customHeight="1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</row>
    <row r="626" spans="1:33" ht="14.4" customHeight="1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</row>
    <row r="627" spans="1:33" ht="14.4" customHeight="1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</row>
    <row r="628" spans="1:33" ht="14.4" customHeight="1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</row>
    <row r="629" spans="1:33" ht="14.4" customHeight="1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</row>
    <row r="630" spans="1:33" ht="14.4" customHeight="1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</row>
    <row r="631" spans="1:33" ht="14.4" customHeight="1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</row>
    <row r="632" spans="1:33" ht="14.4" customHeight="1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</row>
    <row r="633" spans="1:33" ht="14.4" customHeight="1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</row>
    <row r="634" spans="1:33" ht="14.4" customHeight="1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</row>
    <row r="635" spans="1:33" ht="14.4" customHeight="1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</row>
    <row r="636" spans="1:33" ht="14.4" customHeight="1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</row>
    <row r="637" spans="1:33" ht="14.4" customHeight="1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</row>
    <row r="638" spans="1:33" ht="14.4" customHeight="1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</row>
    <row r="639" spans="1:33" ht="14.4" customHeight="1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</row>
    <row r="640" spans="1:33" ht="14.4" customHeight="1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</row>
    <row r="641" spans="1:33" ht="14.4" customHeight="1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</row>
    <row r="642" spans="1:33" ht="14.4" customHeight="1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</row>
    <row r="643" spans="1:33" ht="14.4" customHeight="1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</row>
    <row r="644" spans="1:33" ht="14.4" customHeight="1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</row>
    <row r="645" spans="1:33" ht="14.4" customHeight="1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</row>
    <row r="646" spans="1:33" ht="14.4" customHeight="1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</row>
    <row r="647" spans="1:33" ht="14.4" customHeight="1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</row>
    <row r="648" spans="1:33" ht="14.4" customHeight="1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</row>
    <row r="649" spans="1:33" ht="14.4" customHeight="1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</row>
    <row r="650" spans="1:33" ht="14.4" customHeight="1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</row>
    <row r="651" spans="1:33" ht="14.4" customHeight="1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</row>
    <row r="652" spans="1:33" ht="14.4" customHeight="1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</row>
    <row r="653" spans="1:33" ht="14.4" customHeight="1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</row>
    <row r="654" spans="1:33" ht="14.4" customHeight="1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</row>
    <row r="655" spans="1:33" ht="14.4" customHeight="1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</row>
    <row r="656" spans="1:33" ht="14.4" customHeight="1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</row>
    <row r="657" spans="1:33" ht="14.4" customHeight="1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</row>
    <row r="658" spans="1:33" ht="14.4" customHeight="1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</row>
    <row r="659" spans="1:33" ht="14.4" customHeight="1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</row>
    <row r="660" spans="1:33" ht="14.4" customHeight="1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</row>
    <row r="661" spans="1:33" ht="14.4" customHeight="1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</row>
    <row r="662" spans="1:33" ht="14.4" customHeight="1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</row>
    <row r="663" spans="1:33" ht="14.4" customHeight="1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</row>
    <row r="664" spans="1:33" ht="14.4" customHeight="1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</row>
    <row r="665" spans="1:33" ht="14.4" customHeight="1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</row>
    <row r="666" spans="1:33" ht="14.4" customHeight="1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</row>
    <row r="667" spans="1:33" ht="14.4" customHeight="1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</row>
    <row r="668" spans="1:33" ht="14.4" customHeight="1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</row>
    <row r="669" spans="1:33" ht="14.4" customHeight="1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</row>
    <row r="670" spans="1:33" ht="14.4" customHeight="1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</row>
    <row r="671" spans="1:33" ht="14.4" customHeight="1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</row>
    <row r="672" spans="1:33" ht="14.4" customHeight="1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</row>
    <row r="673" spans="1:33" ht="14.4" customHeight="1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</row>
    <row r="674" spans="1:33" ht="14.4" customHeight="1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</row>
    <row r="675" spans="1:33" ht="14.4" customHeight="1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</row>
    <row r="676" spans="1:33" ht="14.4" customHeight="1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</row>
    <row r="677" spans="1:33" ht="14.4" customHeight="1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</row>
    <row r="678" spans="1:33" ht="14.4" customHeight="1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</row>
    <row r="679" spans="1:33" ht="14.4" customHeight="1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</row>
    <row r="680" spans="1:33" ht="14.4" customHeight="1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</row>
    <row r="681" spans="1:33" ht="14.4" customHeight="1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</row>
    <row r="682" spans="1:33" ht="14.4" customHeight="1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</row>
    <row r="683" spans="1:33" ht="14.4" customHeight="1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</row>
    <row r="684" spans="1:33" ht="14.4" customHeight="1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</row>
    <row r="685" spans="1:33" ht="14.4" customHeight="1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</row>
    <row r="686" spans="1:33" ht="14.4" customHeight="1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</row>
    <row r="687" spans="1:33" ht="14.4" customHeight="1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</row>
    <row r="688" spans="1:33" ht="14.4" customHeight="1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</row>
    <row r="689" spans="1:33" ht="14.4" customHeight="1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</row>
    <row r="690" spans="1:33" ht="14.4" customHeight="1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</row>
    <row r="691" spans="1:33" ht="14.4" customHeight="1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</row>
    <row r="692" spans="1:33" ht="14.4" customHeight="1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</row>
    <row r="693" spans="1:33" ht="14.4" customHeight="1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</row>
    <row r="694" spans="1:33" ht="14.4" customHeight="1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</row>
    <row r="695" spans="1:33" ht="14.4" customHeight="1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</row>
    <row r="696" spans="1:33" ht="14.4" customHeight="1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</row>
    <row r="697" spans="1:33" ht="14.4" customHeight="1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</row>
    <row r="698" spans="1:33" ht="14.4" customHeight="1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</row>
    <row r="699" spans="1:33" ht="14.4" customHeight="1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</row>
    <row r="700" spans="1:33" ht="14.4" customHeight="1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</row>
    <row r="701" spans="1:33" ht="14.4" customHeight="1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</row>
    <row r="702" spans="1:33" ht="14.4" customHeight="1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</row>
    <row r="703" spans="1:33" ht="14.4" customHeight="1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</row>
    <row r="704" spans="1:33" ht="14.4" customHeight="1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</row>
    <row r="705" spans="1:33" ht="14.4" customHeight="1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</row>
    <row r="706" spans="1:33" ht="14.4" customHeight="1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</row>
    <row r="707" spans="1:33" ht="14.4" customHeight="1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</row>
    <row r="708" spans="1:33" ht="14.4" customHeight="1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</row>
    <row r="709" spans="1:33" ht="14.4" customHeight="1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</row>
    <row r="710" spans="1:33" ht="14.4" customHeight="1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</row>
    <row r="711" spans="1:33" ht="14.4" customHeight="1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</row>
    <row r="712" spans="1:33" ht="14.4" customHeight="1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</row>
    <row r="713" spans="1:33" ht="14.4" customHeight="1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</row>
    <row r="714" spans="1:33" ht="14.4" customHeight="1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</row>
    <row r="715" spans="1:33" ht="14.4" customHeight="1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</row>
    <row r="716" spans="1:33" ht="14.4" customHeight="1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</row>
    <row r="717" spans="1:33" ht="14.4" customHeight="1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</row>
    <row r="718" spans="1:33" ht="14.4" customHeight="1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</row>
    <row r="719" spans="1:33" ht="14.4" customHeight="1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</row>
    <row r="720" spans="1:33" ht="14.4" customHeight="1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</row>
    <row r="721" spans="1:33" ht="14.4" customHeight="1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</row>
    <row r="722" spans="1:33" ht="14.4" customHeight="1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</row>
    <row r="723" spans="1:33" ht="14.4" customHeight="1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</row>
    <row r="724" spans="1:33" ht="14.4" customHeight="1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</row>
    <row r="725" spans="1:33" ht="14.4" customHeight="1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</row>
    <row r="726" spans="1:33" ht="14.4" customHeight="1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</row>
    <row r="727" spans="1:33" ht="14.4" customHeight="1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</row>
    <row r="728" spans="1:33" ht="14.4" customHeight="1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</row>
    <row r="729" spans="1:33" ht="14.4" customHeight="1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</row>
    <row r="730" spans="1:33" ht="14.4" customHeight="1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</row>
    <row r="731" spans="1:33" ht="14.4" customHeight="1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</row>
    <row r="732" spans="1:33" ht="14.4" customHeight="1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</row>
    <row r="733" spans="1:33" ht="14.4" customHeight="1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</row>
    <row r="734" spans="1:33" ht="14.4" customHeight="1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</row>
    <row r="735" spans="1:33" ht="14.4" customHeight="1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</row>
    <row r="736" spans="1:33" ht="14.4" customHeight="1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</row>
    <row r="737" spans="1:33" ht="14.4" customHeight="1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</row>
    <row r="738" spans="1:33" ht="14.4" customHeight="1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</row>
    <row r="739" spans="1:33" ht="14.4" customHeight="1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</row>
    <row r="740" spans="1:33" ht="14.4" customHeight="1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</row>
    <row r="741" spans="1:33" ht="14.4" customHeight="1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</row>
    <row r="742" spans="1:33" ht="14.4" customHeight="1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</row>
    <row r="743" spans="1:33" ht="14.4" customHeight="1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</row>
    <row r="744" spans="1:33" ht="14.4" customHeight="1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</row>
    <row r="745" spans="1:33" ht="14.4" customHeight="1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</row>
    <row r="746" spans="1:33" ht="14.4" customHeight="1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</row>
    <row r="747" spans="1:33" ht="14.4" customHeight="1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</row>
    <row r="748" spans="1:33" ht="14.4" customHeight="1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</row>
    <row r="749" spans="1:33" ht="14.4" customHeight="1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</row>
    <row r="750" spans="1:33" ht="14.4" customHeight="1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</row>
    <row r="751" spans="1:33" ht="14.4" customHeight="1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</row>
    <row r="752" spans="1:33" ht="14.4" customHeight="1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</row>
    <row r="753" spans="1:33" ht="14.4" customHeight="1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</row>
    <row r="754" spans="1:33" ht="14.4" customHeight="1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</row>
    <row r="755" spans="1:33" ht="14.4" customHeight="1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</row>
    <row r="756" spans="1:33" ht="14.4" customHeight="1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</row>
    <row r="757" spans="1:33" ht="14.4" customHeight="1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</row>
    <row r="758" spans="1:33" ht="14.4" customHeight="1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</row>
    <row r="759" spans="1:33" ht="14.4" customHeight="1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</row>
    <row r="760" spans="1:33" ht="14.4" customHeight="1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</row>
    <row r="761" spans="1:33" ht="14.4" customHeight="1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</row>
    <row r="762" spans="1:33" ht="14.4" customHeight="1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</row>
    <row r="763" spans="1:33" ht="14.4" customHeight="1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</row>
    <row r="764" spans="1:33" ht="14.4" customHeight="1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</row>
    <row r="765" spans="1:33" ht="14.4" customHeight="1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</row>
    <row r="766" spans="1:33" ht="14.4" customHeight="1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</row>
    <row r="767" spans="1:33" ht="14.4" customHeight="1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</row>
    <row r="768" spans="1:33" ht="14.4" customHeight="1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</row>
    <row r="769" spans="1:33" ht="14.4" customHeight="1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</row>
    <row r="770" spans="1:33" ht="14.4" customHeight="1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</row>
    <row r="771" spans="1:33" ht="14.4" customHeight="1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</row>
    <row r="772" spans="1:33" ht="14.4" customHeight="1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</row>
    <row r="773" spans="1:33" ht="14.4" customHeight="1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</row>
    <row r="774" spans="1:33" ht="14.4" customHeight="1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</row>
    <row r="775" spans="1:33" ht="14.4" customHeight="1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</row>
    <row r="776" spans="1:33" ht="14.4" customHeight="1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</row>
    <row r="777" spans="1:33" ht="14.4" customHeight="1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</row>
    <row r="778" spans="1:33" ht="14.4" customHeight="1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</row>
    <row r="779" spans="1:33" ht="14.4" customHeight="1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</row>
    <row r="780" spans="1:33" ht="14.4" customHeight="1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</row>
    <row r="781" spans="1:33" ht="14.4" customHeight="1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</row>
    <row r="782" spans="1:33" ht="14.4" customHeight="1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</row>
    <row r="783" spans="1:33" ht="14.4" customHeight="1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</row>
    <row r="784" spans="1:33" ht="14.4" customHeight="1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</row>
    <row r="785" spans="1:33" ht="14.4" customHeight="1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</row>
    <row r="786" spans="1:33" ht="14.4" customHeight="1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</row>
    <row r="787" spans="1:33" ht="14.4" customHeight="1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</row>
    <row r="788" spans="1:33" ht="14.4" customHeight="1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</row>
    <row r="789" spans="1:33" ht="14.4" customHeight="1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</row>
    <row r="790" spans="1:33" ht="14.4" customHeight="1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</row>
    <row r="791" spans="1:33" ht="14.4" customHeight="1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</row>
    <row r="792" spans="1:33" ht="14.4" customHeight="1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</row>
    <row r="793" spans="1:33" ht="14.4" customHeight="1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</row>
    <row r="794" spans="1:33" ht="14.4" customHeight="1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</row>
    <row r="795" spans="1:33" ht="14.4" customHeight="1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</row>
    <row r="796" spans="1:33" ht="14.4" customHeight="1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</row>
    <row r="797" spans="1:33" ht="14.4" customHeight="1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</row>
    <row r="798" spans="1:33" ht="14.4" customHeight="1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</row>
    <row r="799" spans="1:33" ht="14.4" customHeight="1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</row>
    <row r="800" spans="1:33" ht="14.4" customHeight="1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</row>
    <row r="801" spans="1:33" ht="14.4" customHeight="1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</row>
    <row r="802" spans="1:33" ht="14.4" customHeight="1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</row>
    <row r="803" spans="1:33" ht="14.4" customHeight="1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</row>
    <row r="804" spans="1:33" ht="14.4" customHeight="1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</row>
    <row r="805" spans="1:33" ht="14.4" customHeight="1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</row>
    <row r="806" spans="1:33" ht="14.4" customHeight="1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</row>
    <row r="807" spans="1:33" ht="14.4" customHeight="1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</row>
    <row r="808" spans="1:33" ht="14.4" customHeight="1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</row>
    <row r="809" spans="1:33" ht="14.4" customHeight="1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</row>
    <row r="810" spans="1:33" ht="14.4" customHeight="1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</row>
    <row r="811" spans="1:33" ht="14.4" customHeight="1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</row>
    <row r="812" spans="1:33" ht="14.4" customHeight="1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</row>
    <row r="813" spans="1:33" ht="14.4" customHeight="1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</row>
    <row r="814" spans="1:33" ht="14.4" customHeight="1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</row>
    <row r="815" spans="1:33" ht="14.4" customHeight="1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</row>
    <row r="816" spans="1:33" ht="14.4" customHeight="1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</row>
    <row r="817" spans="1:33" ht="14.4" customHeight="1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</row>
    <row r="818" spans="1:33" ht="14.4" customHeight="1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</row>
    <row r="819" spans="1:33" ht="14.4" customHeight="1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</row>
    <row r="820" spans="1:33" ht="14.4" customHeight="1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</row>
    <row r="821" spans="1:33" ht="14.4" customHeight="1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</row>
    <row r="822" spans="1:33" ht="14.4" customHeight="1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</row>
    <row r="823" spans="1:33" ht="14.4" customHeight="1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</row>
    <row r="824" spans="1:33" ht="14.4" customHeight="1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</row>
    <row r="825" spans="1:33" ht="14.4" customHeight="1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</row>
    <row r="826" spans="1:33" ht="14.4" customHeight="1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</row>
    <row r="827" spans="1:33" ht="14.4" customHeight="1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</row>
    <row r="828" spans="1:33" ht="14.4" customHeight="1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</row>
    <row r="829" spans="1:33" ht="14.4" customHeight="1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</row>
    <row r="830" spans="1:33" ht="14.4" customHeight="1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</row>
    <row r="831" spans="1:33" ht="14.4" customHeight="1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</row>
    <row r="832" spans="1:33" ht="14.4" customHeight="1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</row>
    <row r="833" spans="1:33" ht="14.4" customHeight="1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</row>
    <row r="834" spans="1:33" ht="14.4" customHeight="1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</row>
    <row r="835" spans="1:33" ht="14.4" customHeight="1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</row>
    <row r="836" spans="1:33" ht="14.4" customHeight="1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</row>
    <row r="837" spans="1:33" ht="14.4" customHeight="1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</row>
    <row r="838" spans="1:33" ht="14.4" customHeight="1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</row>
    <row r="839" spans="1:33" ht="14.4" customHeight="1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</row>
    <row r="840" spans="1:33" ht="14.4" customHeight="1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</row>
    <row r="841" spans="1:33" ht="14.4" customHeight="1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</row>
    <row r="842" spans="1:33" ht="14.4" customHeight="1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</row>
    <row r="843" spans="1:33" ht="14.4" customHeight="1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</row>
  </sheetData>
  <mergeCells count="186">
    <mergeCell ref="T66:X66"/>
    <mergeCell ref="T58:X58"/>
    <mergeCell ref="T60:X60"/>
    <mergeCell ref="T62:X62"/>
    <mergeCell ref="T59:X59"/>
    <mergeCell ref="N31:O31"/>
    <mergeCell ref="T31:X31"/>
    <mergeCell ref="F23:G23"/>
    <mergeCell ref="B25:X25"/>
    <mergeCell ref="B26:X26"/>
    <mergeCell ref="C27:H27"/>
    <mergeCell ref="N27:O27"/>
    <mergeCell ref="T27:X27"/>
    <mergeCell ref="C29:C48"/>
    <mergeCell ref="B29:B48"/>
    <mergeCell ref="T45:X45"/>
    <mergeCell ref="N36:O36"/>
    <mergeCell ref="T36:X36"/>
    <mergeCell ref="N32:O32"/>
    <mergeCell ref="T32:X32"/>
    <mergeCell ref="N33:O33"/>
    <mergeCell ref="T33:X33"/>
    <mergeCell ref="N34:O34"/>
    <mergeCell ref="A1:X1"/>
    <mergeCell ref="B3:C3"/>
    <mergeCell ref="D3:I3"/>
    <mergeCell ref="B5:C5"/>
    <mergeCell ref="E5:F5"/>
    <mergeCell ref="H5:I5"/>
    <mergeCell ref="T5:X5"/>
    <mergeCell ref="E12:F12"/>
    <mergeCell ref="H12:I12"/>
    <mergeCell ref="T6:X6"/>
    <mergeCell ref="E7:F7"/>
    <mergeCell ref="H7:I7"/>
    <mergeCell ref="T8:X8"/>
    <mergeCell ref="T34:X34"/>
    <mergeCell ref="N35:O35"/>
    <mergeCell ref="T40:X40"/>
    <mergeCell ref="N41:O41"/>
    <mergeCell ref="T41:X41"/>
    <mergeCell ref="B9:C9"/>
    <mergeCell ref="E9:F9"/>
    <mergeCell ref="H9:I9"/>
    <mergeCell ref="T9:X9"/>
    <mergeCell ref="N28:O28"/>
    <mergeCell ref="T28:X28"/>
    <mergeCell ref="N29:O29"/>
    <mergeCell ref="T29:X29"/>
    <mergeCell ref="N30:O30"/>
    <mergeCell ref="T30:X30"/>
    <mergeCell ref="B22:C22"/>
    <mergeCell ref="E18:F18"/>
    <mergeCell ref="E19:F19"/>
    <mergeCell ref="F22:G22"/>
    <mergeCell ref="T38:X38"/>
    <mergeCell ref="N37:O37"/>
    <mergeCell ref="T37:X37"/>
    <mergeCell ref="T47:X47"/>
    <mergeCell ref="N48:O48"/>
    <mergeCell ref="T48:X48"/>
    <mergeCell ref="A67:C67"/>
    <mergeCell ref="C28:G28"/>
    <mergeCell ref="T44:X44"/>
    <mergeCell ref="N45:O45"/>
    <mergeCell ref="I44:M44"/>
    <mergeCell ref="I45:M45"/>
    <mergeCell ref="I46:M46"/>
    <mergeCell ref="I47:M47"/>
    <mergeCell ref="I48:M48"/>
    <mergeCell ref="T35:X35"/>
    <mergeCell ref="D51:E52"/>
    <mergeCell ref="J67:K67"/>
    <mergeCell ref="L67:N67"/>
    <mergeCell ref="N57:O57"/>
    <mergeCell ref="T57:X57"/>
    <mergeCell ref="N61:O61"/>
    <mergeCell ref="T61:X61"/>
    <mergeCell ref="N39:O39"/>
    <mergeCell ref="T39:X39"/>
    <mergeCell ref="N49:O49"/>
    <mergeCell ref="T49:X49"/>
    <mergeCell ref="N50:O50"/>
    <mergeCell ref="T50:X50"/>
    <mergeCell ref="T55:X55"/>
    <mergeCell ref="N56:O56"/>
    <mergeCell ref="T56:X56"/>
    <mergeCell ref="I59:K60"/>
    <mergeCell ref="T46:X46"/>
    <mergeCell ref="N47:O47"/>
    <mergeCell ref="D49:E50"/>
    <mergeCell ref="I50:M50"/>
    <mergeCell ref="D55:G56"/>
    <mergeCell ref="N55:O55"/>
    <mergeCell ref="I55:M55"/>
    <mergeCell ref="I56:M56"/>
    <mergeCell ref="D44:G48"/>
    <mergeCell ref="N44:O44"/>
    <mergeCell ref="N46:O46"/>
    <mergeCell ref="D29:E33"/>
    <mergeCell ref="D65:G66"/>
    <mergeCell ref="I65:K66"/>
    <mergeCell ref="N65:O65"/>
    <mergeCell ref="T65:X65"/>
    <mergeCell ref="N66:O66"/>
    <mergeCell ref="F29:G33"/>
    <mergeCell ref="N58:O58"/>
    <mergeCell ref="N60:O60"/>
    <mergeCell ref="I61:K62"/>
    <mergeCell ref="N62:O62"/>
    <mergeCell ref="N40:O40"/>
    <mergeCell ref="D34:E38"/>
    <mergeCell ref="I34:M34"/>
    <mergeCell ref="I35:M35"/>
    <mergeCell ref="I36:M36"/>
    <mergeCell ref="I37:M37"/>
    <mergeCell ref="I38:M38"/>
    <mergeCell ref="F34:G38"/>
    <mergeCell ref="N38:O38"/>
    <mergeCell ref="F39:G43"/>
    <mergeCell ref="D39:E43"/>
    <mergeCell ref="I39:M39"/>
    <mergeCell ref="I40:M40"/>
    <mergeCell ref="N42:O42"/>
    <mergeCell ref="T42:X42"/>
    <mergeCell ref="N43:O43"/>
    <mergeCell ref="T43:X43"/>
    <mergeCell ref="F49:G50"/>
    <mergeCell ref="I49:M49"/>
    <mergeCell ref="I43:M43"/>
    <mergeCell ref="I51:M51"/>
    <mergeCell ref="I52:M52"/>
    <mergeCell ref="T51:X51"/>
    <mergeCell ref="N52:O52"/>
    <mergeCell ref="T52:X52"/>
    <mergeCell ref="N53:O53"/>
    <mergeCell ref="T53:X53"/>
    <mergeCell ref="N54:O54"/>
    <mergeCell ref="T54:X54"/>
    <mergeCell ref="N51:O51"/>
    <mergeCell ref="I53:M53"/>
    <mergeCell ref="I54:M54"/>
    <mergeCell ref="D57:E58"/>
    <mergeCell ref="L57:M57"/>
    <mergeCell ref="L58:M58"/>
    <mergeCell ref="F57:G58"/>
    <mergeCell ref="I57:K58"/>
    <mergeCell ref="D59:E60"/>
    <mergeCell ref="L59:M59"/>
    <mergeCell ref="L60:M60"/>
    <mergeCell ref="F59:G60"/>
    <mergeCell ref="N59:O59"/>
    <mergeCell ref="N63:O63"/>
    <mergeCell ref="T63:X63"/>
    <mergeCell ref="N64:O64"/>
    <mergeCell ref="T64:X64"/>
    <mergeCell ref="D61:E64"/>
    <mergeCell ref="L61:M61"/>
    <mergeCell ref="L62:M62"/>
    <mergeCell ref="L63:M63"/>
    <mergeCell ref="L64:M64"/>
    <mergeCell ref="F61:G62"/>
    <mergeCell ref="I63:K64"/>
    <mergeCell ref="F63:G64"/>
    <mergeCell ref="C57:C66"/>
    <mergeCell ref="B57:B66"/>
    <mergeCell ref="U10:Y10"/>
    <mergeCell ref="H10:I10"/>
    <mergeCell ref="I29:M29"/>
    <mergeCell ref="I30:M30"/>
    <mergeCell ref="I31:M31"/>
    <mergeCell ref="I32:M32"/>
    <mergeCell ref="I33:M33"/>
    <mergeCell ref="L65:M65"/>
    <mergeCell ref="L66:M66"/>
    <mergeCell ref="I27:M27"/>
    <mergeCell ref="I28:M28"/>
    <mergeCell ref="H13:I13"/>
    <mergeCell ref="H16:I16"/>
    <mergeCell ref="I41:M41"/>
    <mergeCell ref="I42:M42"/>
    <mergeCell ref="C49:C56"/>
    <mergeCell ref="B49:B56"/>
    <mergeCell ref="F53:G54"/>
    <mergeCell ref="F51:G52"/>
    <mergeCell ref="D53:E54"/>
  </mergeCells>
  <phoneticPr fontId="65" type="noConversion"/>
  <conditionalFormatting sqref="Q28 Q29:T66">
    <cfRule type="cellIs" dxfId="11" priority="1" operator="equal">
      <formula>"FAILED"</formula>
    </cfRule>
    <cfRule type="cellIs" dxfId="10" priority="2" operator="equal">
      <formula>"PASSED WITH CONDITION"</formula>
    </cfRule>
    <cfRule type="cellIs" dxfId="9" priority="3" operator="equal">
      <formula>"PASSED"</formula>
    </cfRule>
  </conditionalFormatting>
  <dataValidations count="1">
    <dataValidation type="list" allowBlank="1" showErrorMessage="1" sqref="Q28:Q66" xr:uid="{DCDB67F0-C2FC-4C10-9337-2B47F4556160}">
      <formula1>"PASSED,PASSED WITH CONDITION,FAILED,N/A"</formula1>
    </dataValidation>
  </dataValidations>
  <pageMargins left="0.7" right="0.7" top="0.75" bottom="0.75" header="0.3" footer="0.3"/>
  <ignoredErrors>
    <ignoredError sqref="H29:H33 H57:H58 H49:H50 H34:H38 H39:H43 H44:H48 H51:H52 H53:H54 H55:H56 H59:H60 H61:H62 H63:H64 H65:H66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51D5-D4CD-4512-9150-D3FD5F6318B0}">
  <sheetPr codeName="Sheet5">
    <tabColor theme="4" tint="0.59999389629810485"/>
  </sheetPr>
  <dimension ref="A1:AF845"/>
  <sheetViews>
    <sheetView topLeftCell="Q1" zoomScale="85" zoomScaleNormal="85" workbookViewId="0">
      <selection activeCell="D21" sqref="D21"/>
    </sheetView>
  </sheetViews>
  <sheetFormatPr defaultColWidth="14.44140625" defaultRowHeight="14.4" customHeight="1" x14ac:dyDescent="0.25"/>
  <cols>
    <col min="1" max="1" width="1.44140625" style="78" customWidth="1"/>
    <col min="2" max="2" width="4.33203125" style="78" customWidth="1"/>
    <col min="3" max="3" width="17.6640625" style="78" customWidth="1"/>
    <col min="4" max="4" width="5.33203125" style="78" customWidth="1"/>
    <col min="5" max="5" width="6.109375" style="78" customWidth="1"/>
    <col min="6" max="6" width="9.5546875" style="78" customWidth="1"/>
    <col min="7" max="7" width="5" style="78" customWidth="1"/>
    <col min="8" max="8" width="4" style="78" customWidth="1"/>
    <col min="9" max="9" width="11.88671875" style="78" customWidth="1"/>
    <col min="10" max="10" width="5.33203125" style="78" customWidth="1"/>
    <col min="11" max="11" width="11.88671875" style="78" customWidth="1"/>
    <col min="12" max="12" width="4.33203125" style="78" customWidth="1"/>
    <col min="13" max="13" width="11.88671875" style="78" customWidth="1"/>
    <col min="14" max="14" width="8.6640625" style="78" customWidth="1"/>
    <col min="15" max="15" width="40" style="78" customWidth="1"/>
    <col min="16" max="16" width="25.33203125" style="78" customWidth="1"/>
    <col min="17" max="18" width="64.44140625" style="78" customWidth="1"/>
    <col min="19" max="19" width="12.44140625" style="78" customWidth="1"/>
    <col min="20" max="20" width="6.44140625" style="78" customWidth="1"/>
    <col min="21" max="21" width="7.33203125" style="78" customWidth="1"/>
    <col min="22" max="22" width="6.44140625" style="78" customWidth="1"/>
    <col min="23" max="32" width="8.6640625" style="78" customWidth="1"/>
    <col min="33" max="16384" width="14.44140625" style="78"/>
  </cols>
  <sheetData>
    <row r="1" spans="1:32" ht="60" customHeight="1" x14ac:dyDescent="0.25">
      <c r="A1" s="217" t="s">
        <v>266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77"/>
      <c r="Y1" s="77"/>
      <c r="Z1" s="77"/>
      <c r="AA1" s="77"/>
      <c r="AB1" s="77"/>
      <c r="AC1" s="77"/>
      <c r="AD1" s="77"/>
      <c r="AE1" s="77"/>
      <c r="AF1" s="77"/>
    </row>
    <row r="2" spans="1:32" ht="14.4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3"/>
      <c r="U2" s="83"/>
      <c r="V2" s="83"/>
      <c r="W2" s="81"/>
      <c r="X2" s="77"/>
      <c r="Y2" s="77"/>
      <c r="Z2" s="77"/>
      <c r="AA2" s="77"/>
      <c r="AB2" s="77"/>
      <c r="AC2" s="77"/>
      <c r="AD2" s="77"/>
      <c r="AE2" s="77"/>
      <c r="AF2" s="77"/>
    </row>
    <row r="3" spans="1:32" ht="14.4" customHeight="1" x14ac:dyDescent="0.25">
      <c r="A3" s="77"/>
      <c r="B3" s="218" t="s">
        <v>3</v>
      </c>
      <c r="C3" s="218"/>
      <c r="D3" s="411" t="s">
        <v>418</v>
      </c>
      <c r="E3" s="276"/>
      <c r="F3" s="276"/>
      <c r="G3" s="276"/>
      <c r="H3" s="276"/>
      <c r="I3" s="276"/>
      <c r="J3" s="276"/>
      <c r="K3" s="276"/>
      <c r="L3" s="85"/>
      <c r="M3" s="85"/>
      <c r="N3" s="77"/>
      <c r="O3" s="77"/>
      <c r="P3" s="91"/>
      <c r="Q3" s="91"/>
      <c r="R3" s="91"/>
      <c r="S3" s="86" t="s">
        <v>0</v>
      </c>
      <c r="T3" s="89" t="b">
        <v>0</v>
      </c>
      <c r="U3" s="90" t="s">
        <v>1</v>
      </c>
      <c r="V3" s="89" t="b">
        <v>0</v>
      </c>
      <c r="W3" s="90" t="s">
        <v>2</v>
      </c>
      <c r="X3" s="77"/>
      <c r="Y3" s="77"/>
      <c r="Z3" s="77"/>
      <c r="AA3" s="77"/>
      <c r="AB3" s="77"/>
      <c r="AC3" s="77"/>
      <c r="AD3" s="77"/>
      <c r="AE3" s="77"/>
      <c r="AF3" s="77"/>
    </row>
    <row r="4" spans="1:32" ht="14.4" customHeight="1" x14ac:dyDescent="0.25">
      <c r="A4" s="77"/>
      <c r="B4" s="85"/>
      <c r="C4" s="85"/>
      <c r="D4" s="85"/>
      <c r="E4" s="85"/>
      <c r="F4" s="85"/>
      <c r="G4" s="85"/>
      <c r="H4" s="85"/>
      <c r="I4" s="87"/>
      <c r="J4" s="87"/>
      <c r="K4" s="77"/>
      <c r="L4" s="77"/>
      <c r="M4" s="77"/>
      <c r="N4" s="77"/>
      <c r="O4" s="77"/>
      <c r="P4" s="91"/>
      <c r="Q4" s="91"/>
      <c r="R4" s="91"/>
      <c r="S4" s="91"/>
      <c r="X4" s="77"/>
      <c r="Y4" s="77"/>
      <c r="Z4" s="77"/>
      <c r="AA4" s="77"/>
      <c r="AB4" s="77"/>
      <c r="AC4" s="77"/>
      <c r="AD4" s="77"/>
      <c r="AE4" s="77"/>
      <c r="AF4" s="77"/>
    </row>
    <row r="5" spans="1:32" ht="14.4" customHeight="1" x14ac:dyDescent="0.25">
      <c r="A5" s="77"/>
      <c r="B5" s="221" t="s">
        <v>6</v>
      </c>
      <c r="C5" s="221"/>
      <c r="D5" s="89" t="b">
        <v>1</v>
      </c>
      <c r="E5" s="278" t="s">
        <v>7</v>
      </c>
      <c r="F5" s="278"/>
      <c r="G5" s="93" t="b">
        <v>1</v>
      </c>
      <c r="H5" s="222" t="s">
        <v>8</v>
      </c>
      <c r="I5" s="222"/>
      <c r="K5" s="77"/>
      <c r="L5" s="77"/>
      <c r="M5" s="77"/>
      <c r="N5" s="77"/>
      <c r="O5" s="77"/>
      <c r="P5" s="91"/>
      <c r="Q5" s="91"/>
      <c r="R5" s="86" t="s">
        <v>4</v>
      </c>
      <c r="S5" s="279"/>
      <c r="T5" s="279"/>
      <c r="U5" s="279"/>
      <c r="V5" s="279"/>
      <c r="W5" s="279"/>
      <c r="X5" s="77"/>
      <c r="Y5" s="77"/>
      <c r="Z5" s="77"/>
      <c r="AA5" s="77"/>
      <c r="AB5" s="77"/>
      <c r="AC5" s="77"/>
      <c r="AD5" s="77"/>
      <c r="AE5" s="77"/>
      <c r="AF5" s="77"/>
    </row>
    <row r="6" spans="1:32" ht="14.4" customHeight="1" x14ac:dyDescent="0.25">
      <c r="A6" s="77"/>
      <c r="B6" s="85"/>
      <c r="C6" s="85"/>
      <c r="D6" s="77"/>
      <c r="E6" s="77"/>
      <c r="F6" s="77"/>
      <c r="G6" s="77"/>
      <c r="H6" s="92"/>
      <c r="I6" s="92"/>
      <c r="J6" s="95"/>
      <c r="K6" s="77"/>
      <c r="L6" s="77"/>
      <c r="M6" s="77"/>
      <c r="N6" s="77"/>
      <c r="O6" s="77"/>
      <c r="P6" s="91"/>
      <c r="Q6" s="91"/>
      <c r="R6" s="86" t="s">
        <v>5</v>
      </c>
      <c r="S6" s="278"/>
      <c r="T6" s="278"/>
      <c r="U6" s="278"/>
      <c r="V6" s="278"/>
      <c r="W6" s="278"/>
      <c r="X6" s="77"/>
      <c r="Y6" s="77"/>
      <c r="Z6" s="77"/>
      <c r="AA6" s="77"/>
      <c r="AB6" s="77"/>
      <c r="AC6" s="77"/>
      <c r="AD6" s="77"/>
      <c r="AE6" s="77"/>
      <c r="AF6" s="77"/>
    </row>
    <row r="7" spans="1:32" ht="14.4" customHeight="1" x14ac:dyDescent="0.25">
      <c r="A7" s="77"/>
      <c r="B7" s="85" t="s">
        <v>88</v>
      </c>
      <c r="C7" s="85"/>
      <c r="D7" s="89" t="b">
        <v>1</v>
      </c>
      <c r="E7" s="278" t="s">
        <v>89</v>
      </c>
      <c r="F7" s="278"/>
      <c r="G7" s="93" t="b">
        <v>0</v>
      </c>
      <c r="H7" s="278" t="s">
        <v>90</v>
      </c>
      <c r="I7" s="278"/>
      <c r="L7" s="77"/>
      <c r="M7" s="77"/>
      <c r="N7" s="77"/>
      <c r="O7" s="77"/>
      <c r="P7" s="91"/>
      <c r="Q7" s="91"/>
      <c r="R7" s="77"/>
      <c r="S7" s="91"/>
      <c r="T7" s="111"/>
      <c r="U7" s="111"/>
      <c r="V7" s="111"/>
      <c r="W7" s="111"/>
      <c r="X7" s="77"/>
      <c r="Y7" s="77"/>
      <c r="Z7" s="77"/>
      <c r="AA7" s="77"/>
      <c r="AB7" s="77"/>
      <c r="AC7" s="77"/>
      <c r="AD7" s="77"/>
      <c r="AE7" s="77"/>
      <c r="AF7" s="77"/>
    </row>
    <row r="8" spans="1:32" ht="14.4" customHeight="1" x14ac:dyDescent="0.25">
      <c r="A8" s="77"/>
      <c r="B8" s="85"/>
      <c r="C8" s="85"/>
      <c r="D8" s="77"/>
      <c r="E8" s="77"/>
      <c r="F8" s="77"/>
      <c r="G8" s="77"/>
      <c r="H8" s="92"/>
      <c r="I8" s="92"/>
      <c r="J8" s="95"/>
      <c r="K8" s="77"/>
      <c r="L8" s="77"/>
      <c r="M8" s="77"/>
      <c r="N8" s="77"/>
      <c r="O8" s="77"/>
      <c r="P8" s="91"/>
      <c r="Q8" s="91"/>
      <c r="R8" s="86" t="s">
        <v>9</v>
      </c>
      <c r="S8" s="278"/>
      <c r="T8" s="278"/>
      <c r="U8" s="278"/>
      <c r="V8" s="278"/>
      <c r="W8" s="278"/>
      <c r="X8" s="77"/>
      <c r="Y8" s="77"/>
      <c r="Z8" s="77"/>
      <c r="AA8" s="77"/>
      <c r="AB8" s="77"/>
      <c r="AC8" s="77"/>
      <c r="AD8" s="77"/>
      <c r="AE8" s="77"/>
      <c r="AF8" s="77"/>
    </row>
    <row r="9" spans="1:32" ht="14.4" customHeight="1" x14ac:dyDescent="0.25">
      <c r="A9" s="77"/>
      <c r="B9" s="251" t="s">
        <v>148</v>
      </c>
      <c r="C9" s="251"/>
      <c r="D9" s="89" t="b">
        <v>1</v>
      </c>
      <c r="E9" s="278" t="s">
        <v>267</v>
      </c>
      <c r="F9" s="278"/>
      <c r="G9" s="77"/>
      <c r="H9" s="222"/>
      <c r="I9" s="222"/>
      <c r="J9" s="95"/>
      <c r="K9" s="77"/>
      <c r="L9" s="77"/>
      <c r="M9" s="77"/>
      <c r="N9" s="77"/>
      <c r="O9" s="77"/>
      <c r="P9" s="91"/>
      <c r="Q9" s="91"/>
      <c r="R9" s="96" t="str">
        <f>D3</f>
        <v>ATP Group</v>
      </c>
      <c r="S9" s="280"/>
      <c r="T9" s="280"/>
      <c r="U9" s="280"/>
      <c r="V9" s="280"/>
      <c r="W9" s="280"/>
      <c r="X9" s="77"/>
      <c r="Y9" s="77"/>
      <c r="Z9" s="77"/>
      <c r="AA9" s="77"/>
      <c r="AB9" s="77"/>
      <c r="AC9" s="77"/>
      <c r="AD9" s="77"/>
      <c r="AE9" s="77"/>
      <c r="AF9" s="77"/>
    </row>
    <row r="10" spans="1:32" ht="14.4" customHeight="1" x14ac:dyDescent="0.25">
      <c r="A10" s="77"/>
      <c r="B10" s="90"/>
      <c r="C10" s="90"/>
      <c r="D10" s="89" t="b">
        <v>1</v>
      </c>
      <c r="E10" s="278" t="s">
        <v>96</v>
      </c>
      <c r="F10" s="278"/>
      <c r="G10" s="77"/>
      <c r="H10" s="222"/>
      <c r="I10" s="222"/>
      <c r="J10" s="95"/>
      <c r="K10" s="77"/>
      <c r="L10" s="77"/>
      <c r="M10" s="77"/>
      <c r="N10" s="77"/>
      <c r="O10" s="77"/>
      <c r="P10" s="91"/>
      <c r="Q10" s="91"/>
      <c r="R10" s="96" t="s">
        <v>12</v>
      </c>
      <c r="S10" s="278"/>
      <c r="T10" s="278"/>
      <c r="U10" s="278"/>
      <c r="V10" s="278"/>
      <c r="W10" s="278"/>
      <c r="X10" s="77"/>
      <c r="Y10" s="77"/>
      <c r="Z10" s="77"/>
      <c r="AA10" s="77"/>
      <c r="AB10" s="77"/>
      <c r="AC10" s="77"/>
      <c r="AD10" s="77"/>
      <c r="AE10" s="77"/>
      <c r="AF10" s="77"/>
    </row>
    <row r="11" spans="1:32" ht="14.4" customHeight="1" x14ac:dyDescent="0.25">
      <c r="A11" s="77"/>
      <c r="B11" s="90"/>
      <c r="C11" s="90"/>
      <c r="D11" s="89" t="b">
        <v>1</v>
      </c>
      <c r="E11" s="278" t="s">
        <v>268</v>
      </c>
      <c r="F11" s="278"/>
      <c r="G11" s="77"/>
      <c r="H11" s="222"/>
      <c r="I11" s="222"/>
      <c r="J11" s="95"/>
      <c r="K11" s="77"/>
      <c r="L11" s="77"/>
      <c r="M11" s="77"/>
      <c r="N11" s="77"/>
      <c r="O11" s="77"/>
      <c r="P11" s="91"/>
      <c r="Q11" s="91"/>
      <c r="R11" s="91"/>
      <c r="S11" s="91"/>
      <c r="T11" s="111"/>
      <c r="U11" s="111"/>
      <c r="V11" s="111"/>
      <c r="W11" s="111"/>
      <c r="X11" s="77"/>
      <c r="Y11" s="77"/>
      <c r="Z11" s="77"/>
      <c r="AA11" s="77"/>
      <c r="AB11" s="77"/>
      <c r="AC11" s="77"/>
      <c r="AD11" s="77"/>
      <c r="AE11" s="77"/>
      <c r="AF11" s="77"/>
    </row>
    <row r="12" spans="1:32" ht="14.4" customHeight="1" x14ac:dyDescent="0.25">
      <c r="A12" s="77"/>
      <c r="B12" s="90"/>
      <c r="C12" s="90"/>
      <c r="D12" s="89" t="b">
        <v>1</v>
      </c>
      <c r="E12" s="278" t="s">
        <v>269</v>
      </c>
      <c r="F12" s="278"/>
      <c r="G12" s="77"/>
      <c r="H12" s="222"/>
      <c r="I12" s="222"/>
      <c r="J12" s="95"/>
      <c r="K12" s="77"/>
      <c r="L12" s="77"/>
      <c r="M12" s="77"/>
      <c r="N12" s="77"/>
      <c r="O12" s="77"/>
      <c r="P12" s="91"/>
      <c r="Q12" s="91"/>
      <c r="R12" s="91"/>
      <c r="S12" s="91"/>
      <c r="T12" s="111"/>
      <c r="U12" s="111"/>
      <c r="V12" s="111"/>
      <c r="W12" s="111"/>
      <c r="X12" s="77"/>
      <c r="Y12" s="77"/>
      <c r="Z12" s="77"/>
      <c r="AA12" s="77"/>
      <c r="AB12" s="77"/>
      <c r="AC12" s="77"/>
      <c r="AD12" s="77"/>
      <c r="AE12" s="77"/>
      <c r="AF12" s="77"/>
    </row>
    <row r="13" spans="1:32" ht="14.4" customHeight="1" x14ac:dyDescent="0.25">
      <c r="A13" s="77"/>
      <c r="B13" s="90"/>
      <c r="C13" s="90"/>
      <c r="D13" s="89" t="b">
        <v>1</v>
      </c>
      <c r="E13" s="278" t="s">
        <v>18</v>
      </c>
      <c r="F13" s="278"/>
      <c r="G13" s="77"/>
      <c r="H13" s="92"/>
      <c r="I13" s="92"/>
      <c r="J13" s="95"/>
      <c r="K13" s="77"/>
      <c r="L13" s="77"/>
      <c r="M13" s="77"/>
      <c r="N13" s="77"/>
      <c r="O13" s="77"/>
      <c r="P13" s="91"/>
      <c r="Q13" s="91"/>
      <c r="R13" s="91"/>
      <c r="S13" s="91"/>
      <c r="T13" s="111"/>
      <c r="U13" s="111"/>
      <c r="V13" s="111"/>
      <c r="W13" s="111"/>
      <c r="X13" s="77"/>
      <c r="Y13" s="77"/>
      <c r="Z13" s="77"/>
      <c r="AA13" s="77"/>
      <c r="AB13" s="77"/>
      <c r="AC13" s="77"/>
      <c r="AD13" s="77"/>
      <c r="AE13" s="77"/>
      <c r="AF13" s="77"/>
    </row>
    <row r="14" spans="1:32" ht="14.4" customHeight="1" x14ac:dyDescent="0.25">
      <c r="A14" s="77"/>
      <c r="B14" s="90"/>
      <c r="C14" s="90"/>
      <c r="D14" s="89" t="b">
        <v>1</v>
      </c>
      <c r="E14" s="278" t="s">
        <v>270</v>
      </c>
      <c r="F14" s="278"/>
      <c r="G14" s="77"/>
      <c r="H14" s="92"/>
      <c r="I14" s="92"/>
      <c r="J14" s="95"/>
      <c r="K14" s="77"/>
      <c r="L14" s="77"/>
      <c r="M14" s="77"/>
      <c r="N14" s="77"/>
      <c r="O14" s="77"/>
      <c r="P14" s="91"/>
      <c r="Q14" s="91"/>
      <c r="R14" s="91"/>
      <c r="S14" s="91"/>
      <c r="T14" s="111"/>
      <c r="U14" s="111"/>
      <c r="V14" s="111"/>
      <c r="W14" s="111"/>
      <c r="X14" s="77"/>
      <c r="Y14" s="77"/>
      <c r="Z14" s="77"/>
      <c r="AA14" s="77"/>
      <c r="AB14" s="77"/>
      <c r="AC14" s="77"/>
      <c r="AD14" s="77"/>
      <c r="AE14" s="77"/>
      <c r="AF14" s="77"/>
    </row>
    <row r="15" spans="1:32" ht="14.4" customHeight="1" x14ac:dyDescent="0.25">
      <c r="A15" s="77"/>
      <c r="B15" s="85"/>
      <c r="C15" s="85"/>
      <c r="D15" s="77"/>
      <c r="E15" s="77"/>
      <c r="F15" s="77"/>
      <c r="G15" s="77"/>
      <c r="H15" s="92"/>
      <c r="I15" s="92"/>
      <c r="J15" s="95"/>
      <c r="K15" s="77"/>
      <c r="L15" s="77"/>
      <c r="M15" s="77"/>
      <c r="N15" s="77"/>
      <c r="O15" s="77"/>
      <c r="P15" s="91"/>
      <c r="Q15" s="91"/>
      <c r="R15" s="91"/>
      <c r="S15" s="91"/>
      <c r="T15" s="111"/>
      <c r="U15" s="111"/>
      <c r="V15" s="111"/>
      <c r="W15" s="111"/>
      <c r="X15" s="77"/>
      <c r="Y15" s="77"/>
      <c r="Z15" s="77"/>
      <c r="AA15" s="77"/>
      <c r="AB15" s="77"/>
      <c r="AC15" s="77"/>
      <c r="AD15" s="77"/>
      <c r="AE15" s="77"/>
      <c r="AF15" s="77"/>
    </row>
    <row r="16" spans="1:32" ht="14.4" customHeight="1" x14ac:dyDescent="0.25">
      <c r="A16" s="77"/>
      <c r="B16" s="251" t="s">
        <v>10</v>
      </c>
      <c r="C16" s="251"/>
      <c r="D16" s="93" t="b">
        <v>1</v>
      </c>
      <c r="E16" s="251" t="s">
        <v>13</v>
      </c>
      <c r="F16" s="251"/>
      <c r="G16" s="90"/>
      <c r="H16" s="251"/>
      <c r="I16" s="251"/>
      <c r="J16" s="77"/>
      <c r="K16" s="77"/>
      <c r="L16" s="77"/>
      <c r="M16" s="77"/>
      <c r="N16" s="77"/>
      <c r="O16" s="77"/>
      <c r="P16" s="91"/>
      <c r="Q16" s="91"/>
      <c r="R16" s="91"/>
      <c r="S16" s="91"/>
      <c r="T16" s="80"/>
      <c r="U16" s="80"/>
      <c r="V16" s="80"/>
      <c r="W16" s="80"/>
      <c r="X16" s="77"/>
      <c r="Y16" s="77"/>
      <c r="Z16" s="77"/>
      <c r="AA16" s="77"/>
      <c r="AB16" s="77"/>
      <c r="AC16" s="77"/>
      <c r="AD16" s="77"/>
      <c r="AE16" s="77"/>
      <c r="AF16" s="77"/>
    </row>
    <row r="17" spans="1:32" ht="14.4" customHeight="1" x14ac:dyDescent="0.25">
      <c r="A17" s="77"/>
      <c r="B17" s="77"/>
      <c r="C17" s="77"/>
      <c r="D17" s="95"/>
      <c r="E17" s="95"/>
      <c r="F17" s="95"/>
      <c r="G17" s="95"/>
      <c r="H17" s="90"/>
      <c r="I17" s="90"/>
      <c r="J17" s="77"/>
      <c r="K17" s="77"/>
      <c r="L17" s="77"/>
      <c r="M17" s="77"/>
      <c r="N17" s="77"/>
      <c r="O17" s="77"/>
      <c r="P17" s="91"/>
      <c r="Q17" s="91"/>
      <c r="R17" s="91"/>
      <c r="S17" s="91"/>
      <c r="T17" s="80"/>
      <c r="U17" s="80"/>
      <c r="V17" s="80"/>
      <c r="W17" s="80"/>
      <c r="X17" s="77"/>
      <c r="Y17" s="77"/>
      <c r="Z17" s="77"/>
      <c r="AA17" s="77"/>
      <c r="AB17" s="77"/>
      <c r="AC17" s="77"/>
      <c r="AD17" s="77"/>
      <c r="AE17" s="77"/>
      <c r="AF17" s="77"/>
    </row>
    <row r="18" spans="1:32" ht="14.4" customHeight="1" x14ac:dyDescent="0.25">
      <c r="A18" s="77"/>
      <c r="B18" s="77"/>
      <c r="C18" s="77"/>
      <c r="D18" s="77"/>
      <c r="E18" s="93" t="b">
        <v>1</v>
      </c>
      <c r="F18" s="90" t="s">
        <v>14</v>
      </c>
      <c r="G18" s="77"/>
      <c r="J18" s="95"/>
      <c r="K18" s="91"/>
      <c r="L18" s="77"/>
      <c r="M18" s="77"/>
      <c r="N18" s="77"/>
      <c r="O18" s="77"/>
      <c r="P18" s="91"/>
      <c r="Q18" s="91"/>
      <c r="R18" s="91"/>
      <c r="S18" s="91"/>
      <c r="T18" s="80"/>
      <c r="U18" s="80"/>
      <c r="V18" s="80"/>
      <c r="W18" s="80"/>
      <c r="X18" s="77"/>
      <c r="Y18" s="77"/>
      <c r="Z18" s="77"/>
      <c r="AA18" s="77"/>
      <c r="AB18" s="77"/>
      <c r="AC18" s="77"/>
      <c r="AD18" s="77"/>
      <c r="AE18" s="77"/>
      <c r="AF18" s="77"/>
    </row>
    <row r="19" spans="1:32" ht="14.4" customHeight="1" x14ac:dyDescent="0.25">
      <c r="A19" s="77"/>
      <c r="B19" s="77"/>
      <c r="C19" s="77"/>
      <c r="D19" s="77"/>
      <c r="E19" s="93" t="b">
        <v>1</v>
      </c>
      <c r="F19" s="91" t="s">
        <v>15</v>
      </c>
      <c r="G19" s="95"/>
      <c r="H19" s="77"/>
      <c r="I19" s="77"/>
      <c r="L19" s="77"/>
      <c r="M19" s="77"/>
      <c r="N19" s="77"/>
      <c r="O19" s="77"/>
      <c r="P19" s="91"/>
      <c r="Q19" s="91"/>
      <c r="R19" s="91"/>
      <c r="S19" s="91"/>
      <c r="T19" s="80"/>
      <c r="U19" s="80"/>
      <c r="V19" s="80"/>
      <c r="W19" s="80"/>
      <c r="X19" s="77"/>
      <c r="Y19" s="77"/>
      <c r="Z19" s="77"/>
      <c r="AA19" s="77"/>
      <c r="AB19" s="77"/>
      <c r="AC19" s="77"/>
      <c r="AD19" s="77"/>
      <c r="AE19" s="77"/>
      <c r="AF19" s="77"/>
    </row>
    <row r="20" spans="1:32" ht="14.4" customHeight="1" x14ac:dyDescent="0.25">
      <c r="A20" s="77"/>
      <c r="B20" s="77"/>
      <c r="C20" s="77"/>
      <c r="D20" s="77"/>
      <c r="E20" s="95"/>
      <c r="F20" s="91"/>
      <c r="G20" s="95"/>
      <c r="H20" s="77"/>
      <c r="I20" s="77"/>
      <c r="L20" s="77"/>
      <c r="M20" s="77"/>
      <c r="N20" s="77"/>
      <c r="O20" s="77"/>
      <c r="P20" s="91"/>
      <c r="Q20" s="91"/>
      <c r="R20" s="91"/>
      <c r="S20" s="91"/>
      <c r="T20" s="80"/>
      <c r="U20" s="80"/>
      <c r="V20" s="80"/>
      <c r="W20" s="80"/>
      <c r="X20" s="77"/>
      <c r="Y20" s="77"/>
      <c r="Z20" s="77"/>
      <c r="AA20" s="77"/>
      <c r="AB20" s="77"/>
      <c r="AC20" s="77"/>
      <c r="AD20" s="77"/>
      <c r="AE20" s="77"/>
      <c r="AF20" s="77"/>
    </row>
    <row r="21" spans="1:32" ht="14.4" customHeight="1" x14ac:dyDescent="0.25">
      <c r="A21" s="77"/>
      <c r="B21" s="77"/>
      <c r="C21" s="77"/>
      <c r="D21" s="89" t="b">
        <v>1</v>
      </c>
      <c r="E21" s="77" t="s">
        <v>22</v>
      </c>
      <c r="F21" s="77"/>
      <c r="G21" s="77"/>
      <c r="H21" s="77"/>
      <c r="I21" s="77"/>
      <c r="J21" s="90"/>
      <c r="K21" s="91"/>
      <c r="L21" s="91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97"/>
      <c r="X21" s="77"/>
      <c r="Y21" s="77"/>
      <c r="Z21" s="77"/>
      <c r="AA21" s="77"/>
      <c r="AB21" s="77"/>
      <c r="AC21" s="77"/>
      <c r="AD21" s="77"/>
      <c r="AE21" s="77"/>
      <c r="AF21" s="77"/>
    </row>
    <row r="22" spans="1:32" ht="14.4" customHeight="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90"/>
      <c r="K22" s="91"/>
      <c r="L22" s="91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97"/>
      <c r="X22" s="77"/>
      <c r="Y22" s="77"/>
      <c r="Z22" s="77"/>
      <c r="AA22" s="77"/>
      <c r="AB22" s="77"/>
      <c r="AC22" s="77"/>
      <c r="AD22" s="77"/>
      <c r="AE22" s="77"/>
      <c r="AF22" s="77"/>
    </row>
    <row r="23" spans="1:32" ht="14.4" customHeight="1" x14ac:dyDescent="0.25">
      <c r="A23" s="77"/>
      <c r="B23" s="264" t="s">
        <v>25</v>
      </c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77"/>
      <c r="Y23" s="77"/>
      <c r="Z23" s="77"/>
      <c r="AA23" s="77"/>
      <c r="AB23" s="77"/>
      <c r="AC23" s="77"/>
      <c r="AD23" s="77"/>
      <c r="AE23" s="77"/>
      <c r="AF23" s="77"/>
    </row>
    <row r="24" spans="1:32" ht="36" customHeight="1" x14ac:dyDescent="0.25">
      <c r="A24" s="77"/>
      <c r="B24" s="265" t="s">
        <v>153</v>
      </c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77"/>
      <c r="Y24" s="77"/>
      <c r="Z24" s="77"/>
      <c r="AA24" s="77"/>
      <c r="AB24" s="77"/>
      <c r="AC24" s="77"/>
      <c r="AD24" s="77"/>
      <c r="AE24" s="77"/>
      <c r="AF24" s="77"/>
    </row>
    <row r="25" spans="1:32" ht="42.6" customHeight="1" x14ac:dyDescent="0.25">
      <c r="A25" s="124"/>
      <c r="B25" s="130" t="s">
        <v>27</v>
      </c>
      <c r="C25" s="281" t="s">
        <v>10</v>
      </c>
      <c r="D25" s="282"/>
      <c r="E25" s="282"/>
      <c r="F25" s="282"/>
      <c r="G25" s="282"/>
      <c r="H25" s="283"/>
      <c r="I25" s="281" t="s">
        <v>28</v>
      </c>
      <c r="J25" s="282"/>
      <c r="K25" s="282"/>
      <c r="L25" s="283"/>
      <c r="M25" s="281" t="s">
        <v>29</v>
      </c>
      <c r="N25" s="283"/>
      <c r="O25" s="140" t="s">
        <v>154</v>
      </c>
      <c r="P25" s="138" t="s">
        <v>155</v>
      </c>
      <c r="Q25" s="138" t="s">
        <v>156</v>
      </c>
      <c r="R25" s="139" t="s">
        <v>157</v>
      </c>
      <c r="S25" s="366" t="s">
        <v>158</v>
      </c>
      <c r="T25" s="367"/>
      <c r="U25" s="367"/>
      <c r="V25" s="367"/>
      <c r="W25" s="368"/>
      <c r="X25" s="131"/>
      <c r="Y25" s="131"/>
      <c r="Z25" s="131"/>
      <c r="AA25" s="131"/>
      <c r="AB25" s="131"/>
      <c r="AC25" s="131"/>
      <c r="AD25" s="131"/>
      <c r="AE25" s="131"/>
      <c r="AF25" s="77"/>
    </row>
    <row r="26" spans="1:32" ht="408.6" customHeight="1" x14ac:dyDescent="0.25">
      <c r="A26" s="124"/>
      <c r="B26" s="135">
        <v>0</v>
      </c>
      <c r="C26" s="295" t="s">
        <v>102</v>
      </c>
      <c r="D26" s="296"/>
      <c r="E26" s="296"/>
      <c r="F26" s="296"/>
      <c r="G26" s="297"/>
      <c r="H26" s="136" t="s">
        <v>34</v>
      </c>
      <c r="I26" s="316" t="s">
        <v>159</v>
      </c>
      <c r="J26" s="317"/>
      <c r="K26" s="317"/>
      <c r="L26" s="318"/>
      <c r="M26" s="319" t="s">
        <v>160</v>
      </c>
      <c r="N26" s="320"/>
      <c r="O26" s="143" t="s">
        <v>85</v>
      </c>
      <c r="P26" s="114" t="s">
        <v>37</v>
      </c>
      <c r="Q26" s="137" t="s">
        <v>161</v>
      </c>
      <c r="R26" s="137" t="s">
        <v>162</v>
      </c>
      <c r="S26" s="369"/>
      <c r="T26" s="370"/>
      <c r="U26" s="370"/>
      <c r="V26" s="370"/>
      <c r="W26" s="371"/>
      <c r="X26" s="131"/>
      <c r="Y26" s="131"/>
      <c r="Z26" s="131"/>
      <c r="AA26" s="131"/>
      <c r="AB26" s="131"/>
      <c r="AC26" s="131"/>
      <c r="AD26" s="131"/>
      <c r="AE26" s="131"/>
      <c r="AF26" s="77"/>
    </row>
    <row r="27" spans="1:32" ht="14.4" customHeight="1" x14ac:dyDescent="0.25">
      <c r="A27" s="120"/>
      <c r="B27" s="268">
        <v>1</v>
      </c>
      <c r="C27" s="268" t="s">
        <v>271</v>
      </c>
      <c r="D27" s="243" t="s">
        <v>170</v>
      </c>
      <c r="E27" s="244"/>
      <c r="F27" s="244"/>
      <c r="G27" s="245"/>
      <c r="H27" s="121">
        <v>1.1000000000000001</v>
      </c>
      <c r="I27" s="310" t="s">
        <v>171</v>
      </c>
      <c r="J27" s="311"/>
      <c r="K27" s="311"/>
      <c r="L27" s="312"/>
      <c r="M27" s="285" t="s">
        <v>160</v>
      </c>
      <c r="N27" s="286"/>
      <c r="O27" s="99"/>
      <c r="P27" s="100"/>
      <c r="Q27" s="132"/>
      <c r="R27" s="132"/>
      <c r="S27" s="336"/>
      <c r="T27" s="337"/>
      <c r="U27" s="337"/>
      <c r="V27" s="337"/>
      <c r="W27" s="338"/>
      <c r="X27" s="120"/>
      <c r="Y27" s="120"/>
      <c r="Z27" s="120"/>
      <c r="AA27" s="120"/>
      <c r="AB27" s="120"/>
      <c r="AC27" s="120"/>
      <c r="AD27" s="120"/>
      <c r="AE27" s="120"/>
      <c r="AF27" s="77"/>
    </row>
    <row r="28" spans="1:32" ht="14.4" customHeight="1" x14ac:dyDescent="0.25">
      <c r="A28" s="120"/>
      <c r="B28" s="270"/>
      <c r="C28" s="270"/>
      <c r="D28" s="246"/>
      <c r="E28" s="247"/>
      <c r="F28" s="247"/>
      <c r="G28" s="248"/>
      <c r="H28" s="134">
        <v>1.2</v>
      </c>
      <c r="I28" s="375" t="s">
        <v>272</v>
      </c>
      <c r="J28" s="376"/>
      <c r="K28" s="376"/>
      <c r="L28" s="377"/>
      <c r="M28" s="285" t="s">
        <v>160</v>
      </c>
      <c r="N28" s="286"/>
      <c r="O28" s="99"/>
      <c r="P28" s="100"/>
      <c r="Q28" s="132"/>
      <c r="R28" s="132"/>
      <c r="S28" s="336"/>
      <c r="T28" s="337"/>
      <c r="U28" s="337"/>
      <c r="V28" s="337"/>
      <c r="W28" s="338"/>
      <c r="X28" s="120"/>
      <c r="Y28" s="120"/>
      <c r="Z28" s="120"/>
      <c r="AA28" s="120"/>
      <c r="AB28" s="120"/>
      <c r="AC28" s="120"/>
      <c r="AD28" s="120"/>
      <c r="AE28" s="120"/>
      <c r="AF28" s="77"/>
    </row>
    <row r="29" spans="1:32" ht="14.4" customHeight="1" x14ac:dyDescent="0.25">
      <c r="A29" s="120"/>
      <c r="B29" s="270"/>
      <c r="C29" s="270"/>
      <c r="D29" s="246"/>
      <c r="E29" s="247"/>
      <c r="F29" s="247"/>
      <c r="G29" s="248"/>
      <c r="H29" s="123">
        <v>1.3</v>
      </c>
      <c r="I29" s="310" t="s">
        <v>273</v>
      </c>
      <c r="J29" s="311"/>
      <c r="K29" s="311"/>
      <c r="L29" s="312"/>
      <c r="M29" s="285" t="s">
        <v>160</v>
      </c>
      <c r="N29" s="286"/>
      <c r="O29" s="99"/>
      <c r="P29" s="100"/>
      <c r="Q29" s="132"/>
      <c r="R29" s="132"/>
      <c r="S29" s="336"/>
      <c r="T29" s="337"/>
      <c r="U29" s="337"/>
      <c r="V29" s="337"/>
      <c r="W29" s="338"/>
      <c r="X29" s="120"/>
      <c r="Y29" s="120"/>
      <c r="Z29" s="120"/>
      <c r="AA29" s="120"/>
      <c r="AB29" s="120"/>
      <c r="AC29" s="120"/>
      <c r="AD29" s="120"/>
      <c r="AE29" s="120"/>
      <c r="AF29" s="77"/>
    </row>
    <row r="30" spans="1:32" ht="14.4" customHeight="1" x14ac:dyDescent="0.25">
      <c r="A30" s="120"/>
      <c r="B30" s="270"/>
      <c r="C30" s="270"/>
      <c r="D30" s="246"/>
      <c r="E30" s="247"/>
      <c r="F30" s="247"/>
      <c r="G30" s="248"/>
      <c r="H30" s="134">
        <v>1.4</v>
      </c>
      <c r="I30" s="310" t="s">
        <v>274</v>
      </c>
      <c r="J30" s="311"/>
      <c r="K30" s="311"/>
      <c r="L30" s="312"/>
      <c r="M30" s="323" t="s">
        <v>168</v>
      </c>
      <c r="N30" s="324"/>
      <c r="O30" s="99"/>
      <c r="P30" s="100"/>
      <c r="Q30" s="132"/>
      <c r="R30" s="132"/>
      <c r="S30" s="336"/>
      <c r="T30" s="337"/>
      <c r="U30" s="337"/>
      <c r="V30" s="337"/>
      <c r="W30" s="338"/>
      <c r="X30" s="127"/>
      <c r="Y30" s="127"/>
      <c r="Z30" s="127"/>
      <c r="AA30" s="127"/>
      <c r="AB30" s="127"/>
      <c r="AC30" s="127"/>
      <c r="AD30" s="127"/>
      <c r="AE30" s="127"/>
      <c r="AF30" s="77"/>
    </row>
    <row r="31" spans="1:32" ht="14.4" customHeight="1" x14ac:dyDescent="0.25">
      <c r="A31" s="120"/>
      <c r="B31" s="269"/>
      <c r="C31" s="269"/>
      <c r="D31" s="313"/>
      <c r="E31" s="314"/>
      <c r="F31" s="314"/>
      <c r="G31" s="315"/>
      <c r="H31" s="144">
        <v>1.5</v>
      </c>
      <c r="I31" s="310" t="s">
        <v>275</v>
      </c>
      <c r="J31" s="311"/>
      <c r="K31" s="311"/>
      <c r="L31" s="312"/>
      <c r="M31" s="285" t="s">
        <v>160</v>
      </c>
      <c r="N31" s="286"/>
      <c r="O31" s="99"/>
      <c r="P31" s="100"/>
      <c r="Q31" s="132"/>
      <c r="R31" s="132"/>
      <c r="S31" s="336"/>
      <c r="T31" s="337"/>
      <c r="U31" s="337"/>
      <c r="V31" s="337"/>
      <c r="W31" s="338"/>
      <c r="X31" s="120"/>
      <c r="Y31" s="120"/>
      <c r="Z31" s="120"/>
      <c r="AA31" s="120"/>
      <c r="AB31" s="120"/>
      <c r="AC31" s="120"/>
      <c r="AD31" s="120"/>
      <c r="AE31" s="120"/>
      <c r="AF31" s="77"/>
    </row>
    <row r="32" spans="1:32" ht="14.4" customHeight="1" x14ac:dyDescent="0.25">
      <c r="A32" s="120"/>
      <c r="B32" s="257">
        <v>2</v>
      </c>
      <c r="C32" s="268" t="s">
        <v>276</v>
      </c>
      <c r="D32" s="243" t="s">
        <v>170</v>
      </c>
      <c r="E32" s="244"/>
      <c r="F32" s="244"/>
      <c r="G32" s="245"/>
      <c r="H32" s="121">
        <v>2.1</v>
      </c>
      <c r="I32" s="310" t="s">
        <v>171</v>
      </c>
      <c r="J32" s="311"/>
      <c r="K32" s="311"/>
      <c r="L32" s="312"/>
      <c r="M32" s="285" t="s">
        <v>160</v>
      </c>
      <c r="N32" s="286"/>
      <c r="O32" s="99"/>
      <c r="P32" s="100"/>
      <c r="Q32" s="132"/>
      <c r="R32" s="132"/>
      <c r="S32" s="336"/>
      <c r="T32" s="337"/>
      <c r="U32" s="337"/>
      <c r="V32" s="337"/>
      <c r="W32" s="338"/>
      <c r="X32" s="120"/>
      <c r="Y32" s="120"/>
      <c r="Z32" s="120"/>
      <c r="AA32" s="120"/>
      <c r="AB32" s="120"/>
      <c r="AC32" s="120"/>
      <c r="AD32" s="120"/>
      <c r="AE32" s="120"/>
      <c r="AF32" s="77"/>
    </row>
    <row r="33" spans="1:32" ht="14.4" customHeight="1" x14ac:dyDescent="0.25">
      <c r="A33" s="120"/>
      <c r="B33" s="258"/>
      <c r="C33" s="270"/>
      <c r="D33" s="246"/>
      <c r="E33" s="247"/>
      <c r="F33" s="247"/>
      <c r="G33" s="248"/>
      <c r="H33" s="134">
        <v>2.2000000000000002</v>
      </c>
      <c r="I33" s="375" t="s">
        <v>277</v>
      </c>
      <c r="J33" s="376"/>
      <c r="K33" s="376"/>
      <c r="L33" s="377"/>
      <c r="M33" s="285" t="s">
        <v>160</v>
      </c>
      <c r="N33" s="286"/>
      <c r="O33" s="99"/>
      <c r="P33" s="100"/>
      <c r="Q33" s="132"/>
      <c r="R33" s="132"/>
      <c r="S33" s="336"/>
      <c r="T33" s="337"/>
      <c r="U33" s="337"/>
      <c r="V33" s="337"/>
      <c r="W33" s="338"/>
      <c r="X33" s="120"/>
      <c r="Y33" s="120"/>
      <c r="Z33" s="120"/>
      <c r="AA33" s="120"/>
      <c r="AB33" s="120"/>
      <c r="AC33" s="120"/>
      <c r="AD33" s="120"/>
      <c r="AE33" s="120"/>
      <c r="AF33" s="77"/>
    </row>
    <row r="34" spans="1:32" ht="14.4" customHeight="1" x14ac:dyDescent="0.25">
      <c r="A34" s="120"/>
      <c r="B34" s="258"/>
      <c r="C34" s="270"/>
      <c r="D34" s="246"/>
      <c r="E34" s="247"/>
      <c r="F34" s="247"/>
      <c r="G34" s="248"/>
      <c r="H34" s="123">
        <v>2.2999999999999998</v>
      </c>
      <c r="I34" s="310" t="s">
        <v>278</v>
      </c>
      <c r="J34" s="311"/>
      <c r="K34" s="311"/>
      <c r="L34" s="312"/>
      <c r="M34" s="285" t="s">
        <v>160</v>
      </c>
      <c r="N34" s="286"/>
      <c r="O34" s="99"/>
      <c r="P34" s="100"/>
      <c r="Q34" s="132"/>
      <c r="R34" s="132"/>
      <c r="S34" s="336"/>
      <c r="T34" s="337"/>
      <c r="U34" s="337"/>
      <c r="V34" s="337"/>
      <c r="W34" s="338"/>
      <c r="X34" s="120"/>
      <c r="Y34" s="120"/>
      <c r="Z34" s="120"/>
      <c r="AA34" s="120"/>
      <c r="AB34" s="120"/>
      <c r="AC34" s="120"/>
      <c r="AD34" s="120"/>
      <c r="AE34" s="120"/>
      <c r="AF34" s="77"/>
    </row>
    <row r="35" spans="1:32" ht="14.4" customHeight="1" x14ac:dyDescent="0.25">
      <c r="A35" s="120"/>
      <c r="B35" s="258"/>
      <c r="C35" s="270"/>
      <c r="D35" s="246"/>
      <c r="E35" s="247"/>
      <c r="F35" s="247"/>
      <c r="G35" s="248"/>
      <c r="H35" s="134">
        <v>2.4</v>
      </c>
      <c r="I35" s="310" t="s">
        <v>279</v>
      </c>
      <c r="J35" s="311"/>
      <c r="K35" s="311"/>
      <c r="L35" s="312"/>
      <c r="M35" s="323" t="s">
        <v>168</v>
      </c>
      <c r="N35" s="324"/>
      <c r="O35" s="99"/>
      <c r="P35" s="100"/>
      <c r="Q35" s="132"/>
      <c r="R35" s="132"/>
      <c r="S35" s="336"/>
      <c r="T35" s="337"/>
      <c r="U35" s="337"/>
      <c r="V35" s="337"/>
      <c r="W35" s="338"/>
      <c r="X35" s="127"/>
      <c r="Y35" s="127"/>
      <c r="Z35" s="127"/>
      <c r="AA35" s="127"/>
      <c r="AB35" s="127"/>
      <c r="AC35" s="127"/>
      <c r="AD35" s="127"/>
      <c r="AE35" s="127"/>
      <c r="AF35" s="77"/>
    </row>
    <row r="36" spans="1:32" ht="14.4" customHeight="1" x14ac:dyDescent="0.25">
      <c r="A36" s="120"/>
      <c r="B36" s="287"/>
      <c r="C36" s="269"/>
      <c r="D36" s="313"/>
      <c r="E36" s="314"/>
      <c r="F36" s="314"/>
      <c r="G36" s="315"/>
      <c r="H36" s="144">
        <v>2.5</v>
      </c>
      <c r="I36" s="310" t="s">
        <v>280</v>
      </c>
      <c r="J36" s="311"/>
      <c r="K36" s="311"/>
      <c r="L36" s="312"/>
      <c r="M36" s="285" t="s">
        <v>160</v>
      </c>
      <c r="N36" s="286"/>
      <c r="O36" s="99"/>
      <c r="P36" s="100"/>
      <c r="Q36" s="132"/>
      <c r="R36" s="132"/>
      <c r="S36" s="336"/>
      <c r="T36" s="337"/>
      <c r="U36" s="337"/>
      <c r="V36" s="337"/>
      <c r="W36" s="338"/>
      <c r="X36" s="120"/>
      <c r="Y36" s="120"/>
      <c r="Z36" s="120"/>
      <c r="AA36" s="120"/>
      <c r="AB36" s="120"/>
      <c r="AC36" s="120"/>
      <c r="AD36" s="120"/>
      <c r="AE36" s="120"/>
      <c r="AF36" s="77"/>
    </row>
    <row r="37" spans="1:32" ht="14.4" customHeight="1" x14ac:dyDescent="0.25">
      <c r="A37" s="120"/>
      <c r="B37" s="257">
        <v>3</v>
      </c>
      <c r="C37" s="268" t="s">
        <v>281</v>
      </c>
      <c r="D37" s="243" t="s">
        <v>170</v>
      </c>
      <c r="E37" s="244"/>
      <c r="F37" s="244"/>
      <c r="G37" s="245"/>
      <c r="H37" s="121">
        <v>3.1</v>
      </c>
      <c r="I37" s="310" t="s">
        <v>171</v>
      </c>
      <c r="J37" s="311"/>
      <c r="K37" s="311"/>
      <c r="L37" s="312"/>
      <c r="M37" s="285" t="s">
        <v>160</v>
      </c>
      <c r="N37" s="286"/>
      <c r="O37" s="99"/>
      <c r="P37" s="100"/>
      <c r="Q37" s="132"/>
      <c r="R37" s="132"/>
      <c r="S37" s="336"/>
      <c r="T37" s="337"/>
      <c r="U37" s="337"/>
      <c r="V37" s="337"/>
      <c r="W37" s="338"/>
      <c r="X37" s="120"/>
      <c r="Y37" s="120"/>
      <c r="Z37" s="120"/>
      <c r="AA37" s="120"/>
      <c r="AB37" s="120"/>
      <c r="AC37" s="120"/>
      <c r="AD37" s="120"/>
      <c r="AE37" s="120"/>
      <c r="AF37" s="77"/>
    </row>
    <row r="38" spans="1:32" ht="14.4" customHeight="1" x14ac:dyDescent="0.25">
      <c r="A38" s="120"/>
      <c r="B38" s="258"/>
      <c r="C38" s="270"/>
      <c r="D38" s="246"/>
      <c r="E38" s="247"/>
      <c r="F38" s="247"/>
      <c r="G38" s="248"/>
      <c r="H38" s="134">
        <v>3.2</v>
      </c>
      <c r="I38" s="375" t="s">
        <v>282</v>
      </c>
      <c r="J38" s="376"/>
      <c r="K38" s="376"/>
      <c r="L38" s="377"/>
      <c r="M38" s="285" t="s">
        <v>160</v>
      </c>
      <c r="N38" s="286"/>
      <c r="O38" s="99"/>
      <c r="P38" s="100"/>
      <c r="Q38" s="132"/>
      <c r="R38" s="132"/>
      <c r="S38" s="336"/>
      <c r="T38" s="337"/>
      <c r="U38" s="337"/>
      <c r="V38" s="337"/>
      <c r="W38" s="338"/>
      <c r="X38" s="120"/>
      <c r="Y38" s="120"/>
      <c r="Z38" s="120"/>
      <c r="AA38" s="120"/>
      <c r="AB38" s="120"/>
      <c r="AC38" s="120"/>
      <c r="AD38" s="120"/>
      <c r="AE38" s="120"/>
      <c r="AF38" s="77"/>
    </row>
    <row r="39" spans="1:32" ht="14.4" customHeight="1" x14ac:dyDescent="0.25">
      <c r="A39" s="120"/>
      <c r="B39" s="258"/>
      <c r="C39" s="270"/>
      <c r="D39" s="246"/>
      <c r="E39" s="247"/>
      <c r="F39" s="247"/>
      <c r="G39" s="248"/>
      <c r="H39" s="123">
        <v>3.3</v>
      </c>
      <c r="I39" s="310" t="s">
        <v>283</v>
      </c>
      <c r="J39" s="311"/>
      <c r="K39" s="311"/>
      <c r="L39" s="312"/>
      <c r="M39" s="285" t="s">
        <v>160</v>
      </c>
      <c r="N39" s="286"/>
      <c r="O39" s="99"/>
      <c r="P39" s="100"/>
      <c r="Q39" s="132"/>
      <c r="R39" s="132"/>
      <c r="S39" s="336"/>
      <c r="T39" s="337"/>
      <c r="U39" s="337"/>
      <c r="V39" s="337"/>
      <c r="W39" s="338"/>
      <c r="X39" s="120"/>
      <c r="Y39" s="120"/>
      <c r="Z39" s="120"/>
      <c r="AA39" s="120"/>
      <c r="AB39" s="120"/>
      <c r="AC39" s="120"/>
      <c r="AD39" s="120"/>
      <c r="AE39" s="120"/>
      <c r="AF39" s="77"/>
    </row>
    <row r="40" spans="1:32" ht="14.4" customHeight="1" x14ac:dyDescent="0.25">
      <c r="A40" s="120"/>
      <c r="B40" s="258"/>
      <c r="C40" s="270"/>
      <c r="D40" s="246"/>
      <c r="E40" s="247"/>
      <c r="F40" s="247"/>
      <c r="G40" s="248"/>
      <c r="H40" s="134">
        <v>3.4</v>
      </c>
      <c r="I40" s="310" t="s">
        <v>284</v>
      </c>
      <c r="J40" s="311"/>
      <c r="K40" s="311"/>
      <c r="L40" s="312"/>
      <c r="M40" s="323" t="s">
        <v>168</v>
      </c>
      <c r="N40" s="324"/>
      <c r="O40" s="99"/>
      <c r="P40" s="100"/>
      <c r="Q40" s="132"/>
      <c r="R40" s="132"/>
      <c r="S40" s="336"/>
      <c r="T40" s="337"/>
      <c r="U40" s="337"/>
      <c r="V40" s="337"/>
      <c r="W40" s="338"/>
      <c r="X40" s="127"/>
      <c r="Y40" s="127"/>
      <c r="Z40" s="127"/>
      <c r="AA40" s="127"/>
      <c r="AB40" s="127"/>
      <c r="AC40" s="127"/>
      <c r="AD40" s="127"/>
      <c r="AE40" s="127"/>
      <c r="AF40" s="77"/>
    </row>
    <row r="41" spans="1:32" ht="14.4" customHeight="1" x14ac:dyDescent="0.25">
      <c r="A41" s="120"/>
      <c r="B41" s="287"/>
      <c r="C41" s="269"/>
      <c r="D41" s="313"/>
      <c r="E41" s="314"/>
      <c r="F41" s="314"/>
      <c r="G41" s="315"/>
      <c r="H41" s="144">
        <v>3.5</v>
      </c>
      <c r="I41" s="310" t="s">
        <v>285</v>
      </c>
      <c r="J41" s="311"/>
      <c r="K41" s="311"/>
      <c r="L41" s="312"/>
      <c r="M41" s="285" t="s">
        <v>160</v>
      </c>
      <c r="N41" s="286"/>
      <c r="O41" s="99"/>
      <c r="P41" s="100"/>
      <c r="Q41" s="132"/>
      <c r="R41" s="132"/>
      <c r="S41" s="336"/>
      <c r="T41" s="337"/>
      <c r="U41" s="337"/>
      <c r="V41" s="337"/>
      <c r="W41" s="338"/>
      <c r="X41" s="120"/>
      <c r="Y41" s="120"/>
      <c r="Z41" s="120"/>
      <c r="AA41" s="120"/>
      <c r="AB41" s="120"/>
      <c r="AC41" s="120"/>
      <c r="AD41" s="120"/>
      <c r="AE41" s="120"/>
      <c r="AF41" s="77"/>
    </row>
    <row r="42" spans="1:32" ht="14.4" customHeight="1" x14ac:dyDescent="0.25">
      <c r="A42" s="120"/>
      <c r="B42" s="257">
        <v>4</v>
      </c>
      <c r="C42" s="268" t="s">
        <v>286</v>
      </c>
      <c r="D42" s="243" t="s">
        <v>170</v>
      </c>
      <c r="E42" s="244"/>
      <c r="F42" s="244"/>
      <c r="G42" s="245"/>
      <c r="H42" s="121">
        <v>4.0999999999999996</v>
      </c>
      <c r="I42" s="310" t="s">
        <v>171</v>
      </c>
      <c r="J42" s="311"/>
      <c r="K42" s="311"/>
      <c r="L42" s="312"/>
      <c r="M42" s="285" t="s">
        <v>160</v>
      </c>
      <c r="N42" s="286"/>
      <c r="O42" s="99"/>
      <c r="P42" s="100"/>
      <c r="Q42" s="132"/>
      <c r="R42" s="132"/>
      <c r="S42" s="336"/>
      <c r="T42" s="337"/>
      <c r="U42" s="337"/>
      <c r="V42" s="337"/>
      <c r="W42" s="338"/>
      <c r="X42" s="120"/>
      <c r="Y42" s="120"/>
      <c r="Z42" s="120"/>
      <c r="AA42" s="120"/>
      <c r="AB42" s="120"/>
      <c r="AC42" s="120"/>
      <c r="AD42" s="120"/>
      <c r="AE42" s="120"/>
      <c r="AF42" s="77"/>
    </row>
    <row r="43" spans="1:32" ht="14.4" customHeight="1" x14ac:dyDescent="0.25">
      <c r="A43" s="120"/>
      <c r="B43" s="258"/>
      <c r="C43" s="270"/>
      <c r="D43" s="246"/>
      <c r="E43" s="247"/>
      <c r="F43" s="247"/>
      <c r="G43" s="248"/>
      <c r="H43" s="134">
        <v>4.2</v>
      </c>
      <c r="I43" s="375" t="s">
        <v>287</v>
      </c>
      <c r="J43" s="376"/>
      <c r="K43" s="376"/>
      <c r="L43" s="377"/>
      <c r="M43" s="285" t="s">
        <v>160</v>
      </c>
      <c r="N43" s="286"/>
      <c r="O43" s="99"/>
      <c r="P43" s="100"/>
      <c r="Q43" s="132"/>
      <c r="R43" s="132"/>
      <c r="S43" s="336"/>
      <c r="T43" s="337"/>
      <c r="U43" s="337"/>
      <c r="V43" s="337"/>
      <c r="W43" s="338"/>
      <c r="X43" s="120"/>
      <c r="Y43" s="120"/>
      <c r="Z43" s="120"/>
      <c r="AA43" s="120"/>
      <c r="AB43" s="120"/>
      <c r="AC43" s="120"/>
      <c r="AD43" s="120"/>
      <c r="AE43" s="120"/>
      <c r="AF43" s="77"/>
    </row>
    <row r="44" spans="1:32" ht="14.4" customHeight="1" x14ac:dyDescent="0.25">
      <c r="A44" s="120"/>
      <c r="B44" s="258"/>
      <c r="C44" s="270"/>
      <c r="D44" s="246"/>
      <c r="E44" s="247"/>
      <c r="F44" s="247"/>
      <c r="G44" s="248"/>
      <c r="H44" s="123">
        <v>4.3</v>
      </c>
      <c r="I44" s="310" t="s">
        <v>288</v>
      </c>
      <c r="J44" s="311"/>
      <c r="K44" s="311"/>
      <c r="L44" s="312"/>
      <c r="M44" s="285" t="s">
        <v>160</v>
      </c>
      <c r="N44" s="286"/>
      <c r="O44" s="99"/>
      <c r="P44" s="100"/>
      <c r="Q44" s="132"/>
      <c r="R44" s="132"/>
      <c r="S44" s="336"/>
      <c r="T44" s="337"/>
      <c r="U44" s="337"/>
      <c r="V44" s="337"/>
      <c r="W44" s="338"/>
      <c r="X44" s="120"/>
      <c r="Y44" s="120"/>
      <c r="Z44" s="120"/>
      <c r="AA44" s="120"/>
      <c r="AB44" s="120"/>
      <c r="AC44" s="120"/>
      <c r="AD44" s="120"/>
      <c r="AE44" s="120"/>
      <c r="AF44" s="77"/>
    </row>
    <row r="45" spans="1:32" ht="14.4" customHeight="1" x14ac:dyDescent="0.25">
      <c r="A45" s="120"/>
      <c r="B45" s="258"/>
      <c r="C45" s="270"/>
      <c r="D45" s="246"/>
      <c r="E45" s="247"/>
      <c r="F45" s="247"/>
      <c r="G45" s="248"/>
      <c r="H45" s="134">
        <v>4.4000000000000004</v>
      </c>
      <c r="I45" s="310" t="s">
        <v>289</v>
      </c>
      <c r="J45" s="311"/>
      <c r="K45" s="311"/>
      <c r="L45" s="312"/>
      <c r="M45" s="323" t="s">
        <v>168</v>
      </c>
      <c r="N45" s="324"/>
      <c r="O45" s="99"/>
      <c r="P45" s="100"/>
      <c r="Q45" s="132"/>
      <c r="R45" s="132"/>
      <c r="S45" s="336"/>
      <c r="T45" s="337"/>
      <c r="U45" s="337"/>
      <c r="V45" s="337"/>
      <c r="W45" s="338"/>
      <c r="X45" s="127"/>
      <c r="Y45" s="127"/>
      <c r="Z45" s="127"/>
      <c r="AA45" s="127"/>
      <c r="AB45" s="127"/>
      <c r="AC45" s="127"/>
      <c r="AD45" s="127"/>
      <c r="AE45" s="127"/>
      <c r="AF45" s="77"/>
    </row>
    <row r="46" spans="1:32" ht="14.4" customHeight="1" x14ac:dyDescent="0.25">
      <c r="A46" s="120"/>
      <c r="B46" s="287"/>
      <c r="C46" s="269"/>
      <c r="D46" s="313"/>
      <c r="E46" s="314"/>
      <c r="F46" s="314"/>
      <c r="G46" s="315"/>
      <c r="H46" s="144">
        <v>4.5</v>
      </c>
      <c r="I46" s="310" t="s">
        <v>290</v>
      </c>
      <c r="J46" s="311"/>
      <c r="K46" s="311"/>
      <c r="L46" s="312"/>
      <c r="M46" s="285" t="s">
        <v>160</v>
      </c>
      <c r="N46" s="286"/>
      <c r="O46" s="99"/>
      <c r="P46" s="100"/>
      <c r="Q46" s="132"/>
      <c r="R46" s="132"/>
      <c r="S46" s="336"/>
      <c r="T46" s="337"/>
      <c r="U46" s="337"/>
      <c r="V46" s="337"/>
      <c r="W46" s="338"/>
      <c r="X46" s="120"/>
      <c r="Y46" s="120"/>
      <c r="Z46" s="120"/>
      <c r="AA46" s="120"/>
      <c r="AB46" s="120"/>
      <c r="AC46" s="120"/>
      <c r="AD46" s="120"/>
      <c r="AE46" s="120"/>
      <c r="AF46" s="77"/>
    </row>
    <row r="47" spans="1:32" ht="14.4" customHeight="1" x14ac:dyDescent="0.25">
      <c r="A47" s="120"/>
      <c r="B47" s="257">
        <v>5</v>
      </c>
      <c r="C47" s="268" t="s">
        <v>291</v>
      </c>
      <c r="D47" s="243" t="s">
        <v>170</v>
      </c>
      <c r="E47" s="244"/>
      <c r="F47" s="244"/>
      <c r="G47" s="245"/>
      <c r="H47" s="121">
        <v>5.0999999999999996</v>
      </c>
      <c r="I47" s="310" t="s">
        <v>171</v>
      </c>
      <c r="J47" s="311"/>
      <c r="K47" s="311"/>
      <c r="L47" s="312"/>
      <c r="M47" s="285" t="s">
        <v>160</v>
      </c>
      <c r="N47" s="286"/>
      <c r="O47" s="99"/>
      <c r="P47" s="100"/>
      <c r="Q47" s="132"/>
      <c r="R47" s="132"/>
      <c r="S47" s="336"/>
      <c r="T47" s="337"/>
      <c r="U47" s="337"/>
      <c r="V47" s="337"/>
      <c r="W47" s="338"/>
      <c r="X47" s="120"/>
      <c r="Y47" s="120"/>
      <c r="Z47" s="120"/>
      <c r="AA47" s="120"/>
      <c r="AB47" s="120"/>
      <c r="AC47" s="120"/>
      <c r="AD47" s="120"/>
      <c r="AE47" s="120"/>
      <c r="AF47" s="77"/>
    </row>
    <row r="48" spans="1:32" ht="14.4" customHeight="1" x14ac:dyDescent="0.25">
      <c r="A48" s="120"/>
      <c r="B48" s="258"/>
      <c r="C48" s="270"/>
      <c r="D48" s="246"/>
      <c r="E48" s="247"/>
      <c r="F48" s="247"/>
      <c r="G48" s="248"/>
      <c r="H48" s="134">
        <v>5.2</v>
      </c>
      <c r="I48" s="375" t="s">
        <v>292</v>
      </c>
      <c r="J48" s="376"/>
      <c r="K48" s="376"/>
      <c r="L48" s="377"/>
      <c r="M48" s="285" t="s">
        <v>160</v>
      </c>
      <c r="N48" s="286"/>
      <c r="O48" s="99"/>
      <c r="P48" s="100"/>
      <c r="Q48" s="132"/>
      <c r="R48" s="132"/>
      <c r="S48" s="336"/>
      <c r="T48" s="337"/>
      <c r="U48" s="337"/>
      <c r="V48" s="337"/>
      <c r="W48" s="338"/>
      <c r="X48" s="120"/>
      <c r="Y48" s="120"/>
      <c r="Z48" s="120"/>
      <c r="AA48" s="120"/>
      <c r="AB48" s="120"/>
      <c r="AC48" s="120"/>
      <c r="AD48" s="120"/>
      <c r="AE48" s="120"/>
      <c r="AF48" s="77"/>
    </row>
    <row r="49" spans="1:32" ht="14.4" customHeight="1" x14ac:dyDescent="0.25">
      <c r="A49" s="120"/>
      <c r="B49" s="258"/>
      <c r="C49" s="270"/>
      <c r="D49" s="246"/>
      <c r="E49" s="247"/>
      <c r="F49" s="247"/>
      <c r="G49" s="248"/>
      <c r="H49" s="123">
        <v>5.3</v>
      </c>
      <c r="I49" s="310" t="s">
        <v>293</v>
      </c>
      <c r="J49" s="311"/>
      <c r="K49" s="311"/>
      <c r="L49" s="312"/>
      <c r="M49" s="285" t="s">
        <v>160</v>
      </c>
      <c r="N49" s="286"/>
      <c r="O49" s="99"/>
      <c r="P49" s="100"/>
      <c r="Q49" s="132"/>
      <c r="R49" s="132"/>
      <c r="S49" s="336"/>
      <c r="T49" s="337"/>
      <c r="U49" s="337"/>
      <c r="V49" s="337"/>
      <c r="W49" s="338"/>
      <c r="X49" s="120"/>
      <c r="Y49" s="120"/>
      <c r="Z49" s="120"/>
      <c r="AA49" s="120"/>
      <c r="AB49" s="120"/>
      <c r="AC49" s="120"/>
      <c r="AD49" s="120"/>
      <c r="AE49" s="120"/>
      <c r="AF49" s="77"/>
    </row>
    <row r="50" spans="1:32" ht="14.4" customHeight="1" x14ac:dyDescent="0.25">
      <c r="A50" s="120"/>
      <c r="B50" s="258"/>
      <c r="C50" s="270"/>
      <c r="D50" s="246"/>
      <c r="E50" s="247"/>
      <c r="F50" s="247"/>
      <c r="G50" s="248"/>
      <c r="H50" s="134">
        <v>5.4</v>
      </c>
      <c r="I50" s="310" t="s">
        <v>294</v>
      </c>
      <c r="J50" s="311"/>
      <c r="K50" s="311"/>
      <c r="L50" s="312"/>
      <c r="M50" s="323" t="s">
        <v>168</v>
      </c>
      <c r="N50" s="324"/>
      <c r="O50" s="99"/>
      <c r="P50" s="100"/>
      <c r="Q50" s="132"/>
      <c r="R50" s="132"/>
      <c r="S50" s="336"/>
      <c r="T50" s="337"/>
      <c r="U50" s="337"/>
      <c r="V50" s="337"/>
      <c r="W50" s="338"/>
      <c r="X50" s="127"/>
      <c r="Y50" s="127"/>
      <c r="Z50" s="127"/>
      <c r="AA50" s="127"/>
      <c r="AB50" s="127"/>
      <c r="AC50" s="127"/>
      <c r="AD50" s="127"/>
      <c r="AE50" s="127"/>
      <c r="AF50" s="77"/>
    </row>
    <row r="51" spans="1:32" ht="14.4" customHeight="1" x14ac:dyDescent="0.25">
      <c r="A51" s="120"/>
      <c r="B51" s="287"/>
      <c r="C51" s="269"/>
      <c r="D51" s="313"/>
      <c r="E51" s="314"/>
      <c r="F51" s="314"/>
      <c r="G51" s="315"/>
      <c r="H51" s="144">
        <v>5.5</v>
      </c>
      <c r="I51" s="310" t="s">
        <v>295</v>
      </c>
      <c r="J51" s="311"/>
      <c r="K51" s="311"/>
      <c r="L51" s="312"/>
      <c r="M51" s="285" t="s">
        <v>160</v>
      </c>
      <c r="N51" s="286"/>
      <c r="O51" s="99"/>
      <c r="P51" s="100"/>
      <c r="Q51" s="132"/>
      <c r="R51" s="132"/>
      <c r="S51" s="336"/>
      <c r="T51" s="337"/>
      <c r="U51" s="337"/>
      <c r="V51" s="337"/>
      <c r="W51" s="338"/>
      <c r="X51" s="120"/>
      <c r="Y51" s="120"/>
      <c r="Z51" s="120"/>
      <c r="AA51" s="120"/>
      <c r="AB51" s="120"/>
      <c r="AC51" s="120"/>
      <c r="AD51" s="120"/>
      <c r="AE51" s="120"/>
      <c r="AF51" s="77"/>
    </row>
    <row r="52" spans="1:32" ht="14.4" customHeight="1" x14ac:dyDescent="0.25">
      <c r="A52" s="120"/>
      <c r="B52" s="257">
        <v>6</v>
      </c>
      <c r="C52" s="268" t="s">
        <v>296</v>
      </c>
      <c r="D52" s="243" t="s">
        <v>170</v>
      </c>
      <c r="E52" s="244"/>
      <c r="F52" s="244"/>
      <c r="G52" s="245"/>
      <c r="H52" s="121">
        <v>6.1</v>
      </c>
      <c r="I52" s="310" t="s">
        <v>171</v>
      </c>
      <c r="J52" s="311"/>
      <c r="K52" s="311"/>
      <c r="L52" s="312"/>
      <c r="M52" s="285" t="s">
        <v>160</v>
      </c>
      <c r="N52" s="286"/>
      <c r="O52" s="99"/>
      <c r="P52" s="100"/>
      <c r="Q52" s="132"/>
      <c r="R52" s="132"/>
      <c r="S52" s="336"/>
      <c r="T52" s="337"/>
      <c r="U52" s="337"/>
      <c r="V52" s="337"/>
      <c r="W52" s="338"/>
      <c r="X52" s="120"/>
      <c r="Y52" s="120"/>
      <c r="Z52" s="120"/>
      <c r="AA52" s="120"/>
      <c r="AB52" s="120"/>
      <c r="AC52" s="120"/>
      <c r="AD52" s="120"/>
      <c r="AE52" s="120"/>
      <c r="AF52" s="77"/>
    </row>
    <row r="53" spans="1:32" ht="14.4" customHeight="1" x14ac:dyDescent="0.25">
      <c r="A53" s="120"/>
      <c r="B53" s="258"/>
      <c r="C53" s="270"/>
      <c r="D53" s="246"/>
      <c r="E53" s="247"/>
      <c r="F53" s="247"/>
      <c r="G53" s="248"/>
      <c r="H53" s="134">
        <v>6.2</v>
      </c>
      <c r="I53" s="375" t="s">
        <v>297</v>
      </c>
      <c r="J53" s="376"/>
      <c r="K53" s="376"/>
      <c r="L53" s="377"/>
      <c r="M53" s="285" t="s">
        <v>160</v>
      </c>
      <c r="N53" s="286"/>
      <c r="O53" s="99"/>
      <c r="P53" s="100"/>
      <c r="Q53" s="132"/>
      <c r="R53" s="132"/>
      <c r="S53" s="336"/>
      <c r="T53" s="337"/>
      <c r="U53" s="337"/>
      <c r="V53" s="337"/>
      <c r="W53" s="338"/>
      <c r="X53" s="120"/>
      <c r="Y53" s="120"/>
      <c r="Z53" s="120"/>
      <c r="AA53" s="120"/>
      <c r="AB53" s="120"/>
      <c r="AC53" s="120"/>
      <c r="AD53" s="120"/>
      <c r="AE53" s="120"/>
      <c r="AF53" s="77"/>
    </row>
    <row r="54" spans="1:32" ht="14.4" customHeight="1" x14ac:dyDescent="0.25">
      <c r="A54" s="120"/>
      <c r="B54" s="258"/>
      <c r="C54" s="270"/>
      <c r="D54" s="246"/>
      <c r="E54" s="247"/>
      <c r="F54" s="247"/>
      <c r="G54" s="248"/>
      <c r="H54" s="123">
        <v>6.3</v>
      </c>
      <c r="I54" s="310" t="s">
        <v>298</v>
      </c>
      <c r="J54" s="311"/>
      <c r="K54" s="311"/>
      <c r="L54" s="312"/>
      <c r="M54" s="285" t="s">
        <v>160</v>
      </c>
      <c r="N54" s="286"/>
      <c r="O54" s="99"/>
      <c r="P54" s="100"/>
      <c r="Q54" s="132"/>
      <c r="R54" s="132"/>
      <c r="S54" s="336"/>
      <c r="T54" s="337"/>
      <c r="U54" s="337"/>
      <c r="V54" s="337"/>
      <c r="W54" s="338"/>
      <c r="X54" s="120"/>
      <c r="Y54" s="120"/>
      <c r="Z54" s="120"/>
      <c r="AA54" s="120"/>
      <c r="AB54" s="120"/>
      <c r="AC54" s="120"/>
      <c r="AD54" s="120"/>
      <c r="AE54" s="120"/>
      <c r="AF54" s="77"/>
    </row>
    <row r="55" spans="1:32" ht="14.4" customHeight="1" x14ac:dyDescent="0.25">
      <c r="A55" s="120"/>
      <c r="B55" s="258"/>
      <c r="C55" s="270"/>
      <c r="D55" s="246"/>
      <c r="E55" s="247"/>
      <c r="F55" s="247"/>
      <c r="G55" s="248"/>
      <c r="H55" s="134">
        <v>6.4</v>
      </c>
      <c r="I55" s="310" t="s">
        <v>284</v>
      </c>
      <c r="J55" s="311"/>
      <c r="K55" s="311"/>
      <c r="L55" s="312"/>
      <c r="M55" s="323" t="s">
        <v>168</v>
      </c>
      <c r="N55" s="324"/>
      <c r="O55" s="99"/>
      <c r="P55" s="100"/>
      <c r="Q55" s="132"/>
      <c r="R55" s="132"/>
      <c r="S55" s="336"/>
      <c r="T55" s="337"/>
      <c r="U55" s="337"/>
      <c r="V55" s="337"/>
      <c r="W55" s="338"/>
      <c r="X55" s="127"/>
      <c r="Y55" s="127"/>
      <c r="Z55" s="127"/>
      <c r="AA55" s="127"/>
      <c r="AB55" s="127"/>
      <c r="AC55" s="127"/>
      <c r="AD55" s="127"/>
      <c r="AE55" s="127"/>
      <c r="AF55" s="77"/>
    </row>
    <row r="56" spans="1:32" ht="14.4" customHeight="1" x14ac:dyDescent="0.25">
      <c r="A56" s="120"/>
      <c r="B56" s="287"/>
      <c r="C56" s="269"/>
      <c r="D56" s="313"/>
      <c r="E56" s="314"/>
      <c r="F56" s="314"/>
      <c r="G56" s="315"/>
      <c r="H56" s="144">
        <v>6.5</v>
      </c>
      <c r="I56" s="310" t="s">
        <v>299</v>
      </c>
      <c r="J56" s="311"/>
      <c r="K56" s="311"/>
      <c r="L56" s="312"/>
      <c r="M56" s="285" t="s">
        <v>160</v>
      </c>
      <c r="N56" s="286"/>
      <c r="O56" s="99"/>
      <c r="P56" s="100"/>
      <c r="Q56" s="132"/>
      <c r="R56" s="132"/>
      <c r="S56" s="336"/>
      <c r="T56" s="337"/>
      <c r="U56" s="337"/>
      <c r="V56" s="337"/>
      <c r="W56" s="338"/>
      <c r="X56" s="120"/>
      <c r="Y56" s="120"/>
      <c r="Z56" s="120"/>
      <c r="AA56" s="120"/>
      <c r="AB56" s="120"/>
      <c r="AC56" s="120"/>
      <c r="AD56" s="120"/>
      <c r="AE56" s="120"/>
      <c r="AF56" s="77"/>
    </row>
    <row r="57" spans="1:32" ht="14.4" customHeight="1" x14ac:dyDescent="0.25">
      <c r="A57" s="120"/>
      <c r="B57" s="257">
        <v>7</v>
      </c>
      <c r="C57" s="268" t="s">
        <v>300</v>
      </c>
      <c r="D57" s="243" t="s">
        <v>170</v>
      </c>
      <c r="E57" s="244"/>
      <c r="F57" s="244"/>
      <c r="G57" s="245"/>
      <c r="H57" s="121">
        <v>7.1</v>
      </c>
      <c r="I57" s="310" t="s">
        <v>171</v>
      </c>
      <c r="J57" s="311"/>
      <c r="K57" s="311"/>
      <c r="L57" s="312"/>
      <c r="M57" s="285" t="s">
        <v>160</v>
      </c>
      <c r="N57" s="286"/>
      <c r="O57" s="99"/>
      <c r="P57" s="100"/>
      <c r="Q57" s="132"/>
      <c r="R57" s="132"/>
      <c r="S57" s="336"/>
      <c r="T57" s="337"/>
      <c r="U57" s="337"/>
      <c r="V57" s="337"/>
      <c r="W57" s="338"/>
      <c r="X57" s="120"/>
      <c r="Y57" s="120"/>
      <c r="Z57" s="120"/>
      <c r="AA57" s="120"/>
      <c r="AB57" s="120"/>
      <c r="AC57" s="120"/>
      <c r="AD57" s="120"/>
      <c r="AE57" s="120"/>
      <c r="AF57" s="77"/>
    </row>
    <row r="58" spans="1:32" ht="14.4" customHeight="1" x14ac:dyDescent="0.25">
      <c r="A58" s="120"/>
      <c r="B58" s="258"/>
      <c r="C58" s="270"/>
      <c r="D58" s="246"/>
      <c r="E58" s="247"/>
      <c r="F58" s="247"/>
      <c r="G58" s="248"/>
      <c r="H58" s="134">
        <v>7.2</v>
      </c>
      <c r="I58" s="375" t="s">
        <v>297</v>
      </c>
      <c r="J58" s="376"/>
      <c r="K58" s="376"/>
      <c r="L58" s="377"/>
      <c r="M58" s="285" t="s">
        <v>160</v>
      </c>
      <c r="N58" s="286"/>
      <c r="O58" s="99"/>
      <c r="P58" s="100"/>
      <c r="Q58" s="132"/>
      <c r="R58" s="132"/>
      <c r="S58" s="336"/>
      <c r="T58" s="337"/>
      <c r="U58" s="337"/>
      <c r="V58" s="337"/>
      <c r="W58" s="338"/>
      <c r="X58" s="120"/>
      <c r="Y58" s="120"/>
      <c r="Z58" s="120"/>
      <c r="AA58" s="120"/>
      <c r="AB58" s="120"/>
      <c r="AC58" s="120"/>
      <c r="AD58" s="120"/>
      <c r="AE58" s="120"/>
      <c r="AF58" s="77"/>
    </row>
    <row r="59" spans="1:32" ht="14.4" customHeight="1" x14ac:dyDescent="0.25">
      <c r="A59" s="120"/>
      <c r="B59" s="258"/>
      <c r="C59" s="270"/>
      <c r="D59" s="246"/>
      <c r="E59" s="247"/>
      <c r="F59" s="247"/>
      <c r="G59" s="248"/>
      <c r="H59" s="123">
        <v>7.3</v>
      </c>
      <c r="I59" s="310" t="s">
        <v>298</v>
      </c>
      <c r="J59" s="311"/>
      <c r="K59" s="311"/>
      <c r="L59" s="312"/>
      <c r="M59" s="285" t="s">
        <v>160</v>
      </c>
      <c r="N59" s="286"/>
      <c r="O59" s="99"/>
      <c r="P59" s="100"/>
      <c r="Q59" s="132"/>
      <c r="R59" s="132"/>
      <c r="S59" s="336"/>
      <c r="T59" s="337"/>
      <c r="U59" s="337"/>
      <c r="V59" s="337"/>
      <c r="W59" s="338"/>
      <c r="X59" s="120"/>
      <c r="Y59" s="120"/>
      <c r="Z59" s="120"/>
      <c r="AA59" s="120"/>
      <c r="AB59" s="120"/>
      <c r="AC59" s="120"/>
      <c r="AD59" s="120"/>
      <c r="AE59" s="120"/>
      <c r="AF59" s="77"/>
    </row>
    <row r="60" spans="1:32" ht="14.4" customHeight="1" x14ac:dyDescent="0.25">
      <c r="A60" s="120"/>
      <c r="B60" s="258"/>
      <c r="C60" s="270"/>
      <c r="D60" s="246"/>
      <c r="E60" s="247"/>
      <c r="F60" s="247"/>
      <c r="G60" s="248"/>
      <c r="H60" s="134">
        <v>7.4</v>
      </c>
      <c r="I60" s="310" t="s">
        <v>284</v>
      </c>
      <c r="J60" s="311"/>
      <c r="K60" s="311"/>
      <c r="L60" s="312"/>
      <c r="M60" s="323" t="s">
        <v>168</v>
      </c>
      <c r="N60" s="324"/>
      <c r="O60" s="99"/>
      <c r="P60" s="100"/>
      <c r="Q60" s="132"/>
      <c r="R60" s="132"/>
      <c r="S60" s="336"/>
      <c r="T60" s="337"/>
      <c r="U60" s="337"/>
      <c r="V60" s="337"/>
      <c r="W60" s="338"/>
      <c r="X60" s="127"/>
      <c r="Y60" s="127"/>
      <c r="Z60" s="127"/>
      <c r="AA60" s="127"/>
      <c r="AB60" s="127"/>
      <c r="AC60" s="127"/>
      <c r="AD60" s="127"/>
      <c r="AE60" s="127"/>
      <c r="AF60" s="77"/>
    </row>
    <row r="61" spans="1:32" ht="14.4" customHeight="1" x14ac:dyDescent="0.25">
      <c r="A61" s="120"/>
      <c r="B61" s="287"/>
      <c r="C61" s="269"/>
      <c r="D61" s="313"/>
      <c r="E61" s="314"/>
      <c r="F61" s="314"/>
      <c r="G61" s="315"/>
      <c r="H61" s="144">
        <v>7.5</v>
      </c>
      <c r="I61" s="310" t="s">
        <v>299</v>
      </c>
      <c r="J61" s="311"/>
      <c r="K61" s="311"/>
      <c r="L61" s="312"/>
      <c r="M61" s="285" t="s">
        <v>160</v>
      </c>
      <c r="N61" s="286"/>
      <c r="O61" s="99"/>
      <c r="P61" s="100"/>
      <c r="Q61" s="132"/>
      <c r="R61" s="132"/>
      <c r="S61" s="336"/>
      <c r="T61" s="337"/>
      <c r="U61" s="337"/>
      <c r="V61" s="337"/>
      <c r="W61" s="338"/>
      <c r="X61" s="120"/>
      <c r="Y61" s="120"/>
      <c r="Z61" s="120"/>
      <c r="AA61" s="120"/>
      <c r="AB61" s="120"/>
      <c r="AC61" s="120"/>
      <c r="AD61" s="120"/>
      <c r="AE61" s="120"/>
      <c r="AF61" s="77"/>
    </row>
    <row r="62" spans="1:32" ht="27" customHeight="1" x14ac:dyDescent="0.25">
      <c r="A62" s="120"/>
      <c r="B62" s="257">
        <v>8</v>
      </c>
      <c r="C62" s="268" t="s">
        <v>186</v>
      </c>
      <c r="D62" s="298" t="s">
        <v>301</v>
      </c>
      <c r="E62" s="299"/>
      <c r="F62" s="299"/>
      <c r="G62" s="300"/>
      <c r="H62" s="123">
        <v>8.1</v>
      </c>
      <c r="I62" s="372" t="s">
        <v>302</v>
      </c>
      <c r="J62" s="373"/>
      <c r="K62" s="373"/>
      <c r="L62" s="374"/>
      <c r="M62" s="285" t="s">
        <v>160</v>
      </c>
      <c r="N62" s="286"/>
      <c r="O62" s="99"/>
      <c r="P62" s="129"/>
      <c r="Q62" s="129"/>
      <c r="R62" s="133"/>
      <c r="S62" s="336"/>
      <c r="T62" s="337"/>
      <c r="U62" s="337"/>
      <c r="V62" s="337"/>
      <c r="W62" s="338"/>
      <c r="X62" s="127"/>
      <c r="Y62" s="127"/>
      <c r="Z62" s="127"/>
      <c r="AA62" s="127"/>
      <c r="AB62" s="127"/>
      <c r="AC62" s="127"/>
      <c r="AD62" s="127"/>
      <c r="AE62" s="127"/>
      <c r="AF62" s="77"/>
    </row>
    <row r="63" spans="1:32" ht="27" customHeight="1" x14ac:dyDescent="0.25">
      <c r="A63" s="120"/>
      <c r="B63" s="258"/>
      <c r="C63" s="270"/>
      <c r="D63" s="298" t="s">
        <v>303</v>
      </c>
      <c r="E63" s="299"/>
      <c r="F63" s="299"/>
      <c r="G63" s="300"/>
      <c r="H63" s="123">
        <v>8.1999999999999993</v>
      </c>
      <c r="I63" s="372" t="s">
        <v>304</v>
      </c>
      <c r="J63" s="373"/>
      <c r="K63" s="373"/>
      <c r="L63" s="374"/>
      <c r="M63" s="285" t="s">
        <v>160</v>
      </c>
      <c r="N63" s="286"/>
      <c r="O63" s="99"/>
      <c r="P63" s="129"/>
      <c r="Q63" s="129"/>
      <c r="R63" s="133"/>
      <c r="S63" s="336"/>
      <c r="T63" s="337"/>
      <c r="U63" s="337"/>
      <c r="V63" s="337"/>
      <c r="W63" s="338"/>
      <c r="X63" s="127"/>
      <c r="Y63" s="127"/>
      <c r="Z63" s="127"/>
      <c r="AA63" s="127"/>
      <c r="AB63" s="127"/>
      <c r="AC63" s="127"/>
      <c r="AD63" s="127"/>
      <c r="AE63" s="127"/>
      <c r="AF63" s="77"/>
    </row>
    <row r="64" spans="1:32" ht="27" customHeight="1" x14ac:dyDescent="0.25">
      <c r="A64" s="120"/>
      <c r="B64" s="258"/>
      <c r="C64" s="270"/>
      <c r="D64" s="298" t="s">
        <v>305</v>
      </c>
      <c r="E64" s="299"/>
      <c r="F64" s="299"/>
      <c r="G64" s="300"/>
      <c r="H64" s="123">
        <v>8.3000000000000007</v>
      </c>
      <c r="I64" s="372" t="s">
        <v>306</v>
      </c>
      <c r="J64" s="373"/>
      <c r="K64" s="373"/>
      <c r="L64" s="374"/>
      <c r="M64" s="285" t="s">
        <v>160</v>
      </c>
      <c r="N64" s="286"/>
      <c r="O64" s="99"/>
      <c r="P64" s="129"/>
      <c r="Q64" s="129"/>
      <c r="R64" s="133"/>
      <c r="S64" s="336"/>
      <c r="T64" s="337"/>
      <c r="U64" s="337"/>
      <c r="V64" s="337"/>
      <c r="W64" s="338"/>
      <c r="X64" s="127"/>
      <c r="Y64" s="127"/>
      <c r="Z64" s="127"/>
      <c r="AA64" s="127"/>
      <c r="AB64" s="127"/>
      <c r="AC64" s="127"/>
      <c r="AD64" s="127"/>
      <c r="AE64" s="127"/>
      <c r="AF64" s="77"/>
    </row>
    <row r="65" spans="1:32" ht="27" customHeight="1" x14ac:dyDescent="0.25">
      <c r="A65" s="120"/>
      <c r="B65" s="258"/>
      <c r="C65" s="270"/>
      <c r="D65" s="298" t="s">
        <v>307</v>
      </c>
      <c r="E65" s="299"/>
      <c r="F65" s="299"/>
      <c r="G65" s="300"/>
      <c r="H65" s="123">
        <v>8.4</v>
      </c>
      <c r="I65" s="372" t="s">
        <v>308</v>
      </c>
      <c r="J65" s="373"/>
      <c r="K65" s="373"/>
      <c r="L65" s="374"/>
      <c r="M65" s="285" t="s">
        <v>160</v>
      </c>
      <c r="N65" s="286"/>
      <c r="O65" s="99"/>
      <c r="P65" s="129"/>
      <c r="Q65" s="129"/>
      <c r="R65" s="133"/>
      <c r="S65" s="336"/>
      <c r="T65" s="337"/>
      <c r="U65" s="337"/>
      <c r="V65" s="337"/>
      <c r="W65" s="338"/>
      <c r="X65" s="127"/>
      <c r="Y65" s="127"/>
      <c r="Z65" s="127"/>
      <c r="AA65" s="127"/>
      <c r="AB65" s="127"/>
      <c r="AC65" s="127"/>
      <c r="AD65" s="127"/>
      <c r="AE65" s="127"/>
      <c r="AF65" s="77"/>
    </row>
    <row r="66" spans="1:32" ht="27" customHeight="1" x14ac:dyDescent="0.25">
      <c r="A66" s="120"/>
      <c r="B66" s="258"/>
      <c r="C66" s="270"/>
      <c r="D66" s="298" t="s">
        <v>309</v>
      </c>
      <c r="E66" s="299"/>
      <c r="F66" s="299"/>
      <c r="G66" s="300"/>
      <c r="H66" s="123">
        <v>8.5</v>
      </c>
      <c r="I66" s="372" t="s">
        <v>310</v>
      </c>
      <c r="J66" s="373"/>
      <c r="K66" s="373"/>
      <c r="L66" s="374"/>
      <c r="M66" s="285" t="s">
        <v>160</v>
      </c>
      <c r="N66" s="286"/>
      <c r="O66" s="99"/>
      <c r="P66" s="129"/>
      <c r="Q66" s="129"/>
      <c r="R66" s="133"/>
      <c r="S66" s="336"/>
      <c r="T66" s="337"/>
      <c r="U66" s="337"/>
      <c r="V66" s="337"/>
      <c r="W66" s="338"/>
      <c r="X66" s="127"/>
      <c r="Y66" s="127"/>
      <c r="Z66" s="127"/>
      <c r="AA66" s="127"/>
      <c r="AB66" s="127"/>
      <c r="AC66" s="127"/>
      <c r="AD66" s="127"/>
      <c r="AE66" s="127"/>
      <c r="AF66" s="77"/>
    </row>
    <row r="67" spans="1:32" ht="27" customHeight="1" x14ac:dyDescent="0.25">
      <c r="A67" s="120"/>
      <c r="B67" s="258"/>
      <c r="C67" s="270"/>
      <c r="D67" s="298" t="s">
        <v>311</v>
      </c>
      <c r="E67" s="299"/>
      <c r="F67" s="299"/>
      <c r="G67" s="300"/>
      <c r="H67" s="123">
        <v>8.6</v>
      </c>
      <c r="I67" s="372" t="s">
        <v>312</v>
      </c>
      <c r="J67" s="373"/>
      <c r="K67" s="373"/>
      <c r="L67" s="374"/>
      <c r="M67" s="285" t="s">
        <v>160</v>
      </c>
      <c r="N67" s="286"/>
      <c r="O67" s="99"/>
      <c r="P67" s="129"/>
      <c r="Q67" s="129"/>
      <c r="R67" s="133"/>
      <c r="S67" s="336"/>
      <c r="T67" s="337"/>
      <c r="U67" s="337"/>
      <c r="V67" s="337"/>
      <c r="W67" s="338"/>
      <c r="X67" s="127"/>
      <c r="Y67" s="127"/>
      <c r="Z67" s="127"/>
      <c r="AA67" s="127"/>
      <c r="AB67" s="127"/>
      <c r="AC67" s="127"/>
      <c r="AD67" s="127"/>
      <c r="AE67" s="127"/>
      <c r="AF67" s="77"/>
    </row>
    <row r="68" spans="1:32" ht="27" customHeight="1" x14ac:dyDescent="0.25">
      <c r="A68" s="120"/>
      <c r="B68" s="287"/>
      <c r="C68" s="269"/>
      <c r="D68" s="298" t="s">
        <v>313</v>
      </c>
      <c r="E68" s="299"/>
      <c r="F68" s="299"/>
      <c r="G68" s="300"/>
      <c r="H68" s="123">
        <v>8.6999999999999993</v>
      </c>
      <c r="I68" s="372" t="s">
        <v>314</v>
      </c>
      <c r="J68" s="373"/>
      <c r="K68" s="373"/>
      <c r="L68" s="374"/>
      <c r="M68" s="285" t="s">
        <v>160</v>
      </c>
      <c r="N68" s="286"/>
      <c r="O68" s="99"/>
      <c r="P68" s="100"/>
      <c r="Q68" s="100"/>
      <c r="R68" s="100"/>
      <c r="S68" s="336"/>
      <c r="T68" s="337"/>
      <c r="U68" s="337"/>
      <c r="V68" s="337"/>
      <c r="W68" s="338"/>
      <c r="X68" s="127"/>
      <c r="Y68" s="127"/>
      <c r="Z68" s="127"/>
      <c r="AA68" s="127"/>
      <c r="AB68" s="127"/>
      <c r="AC68" s="127"/>
      <c r="AD68" s="127"/>
      <c r="AE68" s="127"/>
      <c r="AF68" s="77"/>
    </row>
    <row r="69" spans="1:32" ht="12" x14ac:dyDescent="0.25">
      <c r="A69" s="301"/>
      <c r="B69" s="301"/>
      <c r="C69" s="301"/>
      <c r="D69" s="120"/>
      <c r="E69" s="120"/>
      <c r="F69" s="120"/>
      <c r="G69" s="120"/>
      <c r="H69" s="124"/>
      <c r="I69" s="120"/>
      <c r="J69" s="378"/>
      <c r="K69" s="378"/>
      <c r="L69" s="379"/>
      <c r="M69" s="379"/>
      <c r="N69" s="120"/>
      <c r="O69" s="125"/>
      <c r="P69" s="126"/>
      <c r="Q69" s="126"/>
      <c r="R69" s="126"/>
      <c r="S69" s="126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77"/>
    </row>
    <row r="70" spans="1:32" ht="14.4" customHeight="1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90"/>
      <c r="K70" s="91"/>
      <c r="L70" s="91"/>
      <c r="M70" s="77"/>
      <c r="N70" s="77"/>
      <c r="O70" s="86" t="s">
        <v>82</v>
      </c>
      <c r="P70" s="107">
        <f>COUNTIF(P37:P68,"PASSED")</f>
        <v>0</v>
      </c>
      <c r="Q70" s="112"/>
      <c r="R70" s="77"/>
      <c r="S70" s="77"/>
      <c r="T70" s="95"/>
      <c r="U70" s="95"/>
      <c r="V70" s="95"/>
      <c r="W70" s="77"/>
      <c r="X70" s="77"/>
      <c r="Y70" s="77"/>
      <c r="Z70" s="77"/>
      <c r="AA70" s="77"/>
      <c r="AB70" s="77"/>
      <c r="AC70" s="77"/>
      <c r="AD70" s="77"/>
      <c r="AE70" s="77"/>
      <c r="AF70" s="77"/>
    </row>
    <row r="71" spans="1:32" ht="14.4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90"/>
      <c r="K71" s="91"/>
      <c r="L71" s="91"/>
      <c r="M71" s="77"/>
      <c r="N71" s="77"/>
      <c r="O71" s="86" t="s">
        <v>83</v>
      </c>
      <c r="P71" s="108">
        <f>COUNTIF(P37:P68, "PASSED WITH CONDITION")</f>
        <v>0</v>
      </c>
      <c r="Q71" s="112"/>
      <c r="R71" s="77"/>
      <c r="S71" s="77"/>
      <c r="T71" s="95"/>
      <c r="U71" s="95"/>
      <c r="V71" s="95"/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 spans="1:32" ht="14.4" customHeight="1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90"/>
      <c r="K72" s="91"/>
      <c r="L72" s="91"/>
      <c r="M72" s="77"/>
      <c r="N72" s="77"/>
      <c r="O72" s="86" t="s">
        <v>84</v>
      </c>
      <c r="P72" s="109">
        <f>COUNTIF(P37:P68,"FAILED")</f>
        <v>0</v>
      </c>
      <c r="Q72" s="112"/>
      <c r="R72" s="77"/>
      <c r="S72" s="77"/>
      <c r="T72" s="95"/>
      <c r="U72" s="95"/>
      <c r="V72" s="95"/>
      <c r="W72" s="77"/>
      <c r="X72" s="77"/>
      <c r="Y72" s="77"/>
      <c r="Z72" s="77"/>
      <c r="AA72" s="77"/>
      <c r="AB72" s="77"/>
      <c r="AC72" s="77"/>
      <c r="AD72" s="77"/>
      <c r="AE72" s="77"/>
      <c r="AF72" s="77"/>
    </row>
    <row r="73" spans="1:32" ht="14.4" customHeight="1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90"/>
      <c r="K73" s="91"/>
      <c r="L73" s="91"/>
      <c r="M73" s="77"/>
      <c r="N73" s="77"/>
      <c r="O73" s="86" t="s">
        <v>85</v>
      </c>
      <c r="P73" s="110">
        <f>COUNTIF(P37:P68,"N/A")</f>
        <v>0</v>
      </c>
      <c r="Q73" s="112"/>
      <c r="R73" s="77"/>
      <c r="S73" s="77"/>
      <c r="T73" s="95"/>
      <c r="U73" s="95"/>
      <c r="V73" s="95"/>
      <c r="W73" s="77"/>
      <c r="X73" s="77"/>
      <c r="Y73" s="77"/>
      <c r="Z73" s="77"/>
      <c r="AA73" s="77"/>
      <c r="AB73" s="77"/>
      <c r="AC73" s="77"/>
      <c r="AD73" s="77"/>
      <c r="AE73" s="77"/>
      <c r="AF73" s="77"/>
    </row>
    <row r="74" spans="1:32" ht="14.4" customHeight="1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90"/>
      <c r="K74" s="91"/>
      <c r="L74" s="91"/>
      <c r="M74" s="77"/>
      <c r="N74" s="77"/>
      <c r="O74" s="77"/>
      <c r="P74" s="95"/>
      <c r="Q74" s="95"/>
      <c r="R74" s="77"/>
      <c r="S74" s="77"/>
      <c r="T74" s="95"/>
      <c r="U74" s="95"/>
      <c r="V74" s="95"/>
      <c r="W74" s="77"/>
      <c r="X74" s="77"/>
      <c r="Y74" s="77"/>
      <c r="Z74" s="77"/>
      <c r="AA74" s="77"/>
      <c r="AB74" s="77"/>
      <c r="AC74" s="77"/>
      <c r="AD74" s="77"/>
      <c r="AE74" s="77"/>
      <c r="AF74" s="77"/>
    </row>
    <row r="75" spans="1:32" ht="14.4" customHeight="1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90"/>
      <c r="K75" s="91"/>
      <c r="L75" s="91"/>
      <c r="M75" s="77"/>
      <c r="N75" s="77"/>
      <c r="O75" s="77"/>
      <c r="P75" s="95"/>
      <c r="Q75" s="95"/>
      <c r="R75" s="77"/>
      <c r="S75" s="77"/>
      <c r="T75" s="95"/>
      <c r="U75" s="95"/>
      <c r="V75" s="95"/>
      <c r="W75" s="77"/>
      <c r="X75" s="77"/>
      <c r="Y75" s="77"/>
      <c r="Z75" s="77"/>
      <c r="AA75" s="77"/>
      <c r="AB75" s="77"/>
      <c r="AC75" s="77"/>
      <c r="AD75" s="77"/>
      <c r="AE75" s="77"/>
      <c r="AF75" s="77"/>
    </row>
    <row r="76" spans="1:32" ht="14.4" customHeight="1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90"/>
      <c r="K76" s="91"/>
      <c r="L76" s="91"/>
      <c r="M76" s="77"/>
      <c r="N76" s="77"/>
      <c r="O76" s="77"/>
      <c r="P76" s="77"/>
      <c r="Q76" s="77"/>
      <c r="R76" s="77"/>
      <c r="S76" s="77"/>
      <c r="T76" s="95"/>
      <c r="U76" s="95"/>
      <c r="V76" s="95"/>
      <c r="W76" s="77"/>
      <c r="X76" s="77"/>
      <c r="Y76" s="77"/>
      <c r="Z76" s="77"/>
      <c r="AA76" s="77"/>
      <c r="AB76" s="77"/>
      <c r="AC76" s="77"/>
      <c r="AD76" s="77"/>
      <c r="AE76" s="77"/>
      <c r="AF76" s="77"/>
    </row>
    <row r="77" spans="1:32" ht="14.4" customHeight="1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90"/>
      <c r="K77" s="91"/>
      <c r="L77" s="91"/>
      <c r="M77" s="77"/>
      <c r="N77" s="77"/>
      <c r="O77" s="77"/>
      <c r="P77" s="77"/>
      <c r="Q77" s="77"/>
      <c r="R77" s="77"/>
      <c r="S77" s="77"/>
      <c r="T77" s="95"/>
      <c r="U77" s="95"/>
      <c r="V77" s="95"/>
      <c r="W77" s="77"/>
      <c r="X77" s="77"/>
      <c r="Y77" s="77"/>
      <c r="Z77" s="77"/>
      <c r="AA77" s="77"/>
      <c r="AB77" s="77"/>
      <c r="AC77" s="77"/>
      <c r="AD77" s="77"/>
      <c r="AE77" s="77"/>
      <c r="AF77" s="77"/>
    </row>
    <row r="78" spans="1:32" ht="14.4" customHeight="1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90"/>
      <c r="K78" s="91"/>
      <c r="L78" s="91"/>
      <c r="M78" s="77"/>
      <c r="N78" s="77"/>
      <c r="O78" s="77"/>
      <c r="P78" s="77"/>
      <c r="Q78" s="77"/>
      <c r="R78" s="77"/>
      <c r="S78" s="77"/>
      <c r="T78" s="95"/>
      <c r="U78" s="95"/>
      <c r="V78" s="95"/>
      <c r="W78" s="77"/>
      <c r="X78" s="77"/>
      <c r="Y78" s="77"/>
      <c r="Z78" s="77"/>
      <c r="AA78" s="77"/>
      <c r="AB78" s="77"/>
      <c r="AC78" s="77"/>
      <c r="AD78" s="77"/>
      <c r="AE78" s="77"/>
      <c r="AF78" s="77"/>
    </row>
    <row r="79" spans="1:32" ht="14.4" customHeigh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90"/>
      <c r="K79" s="91"/>
      <c r="L79" s="91"/>
      <c r="M79" s="77"/>
      <c r="N79" s="77"/>
      <c r="O79" s="77"/>
      <c r="P79" s="77"/>
      <c r="Q79" s="77"/>
      <c r="R79" s="77"/>
      <c r="S79" s="77"/>
      <c r="T79" s="95"/>
      <c r="U79" s="95"/>
      <c r="V79" s="95"/>
      <c r="W79" s="77"/>
      <c r="X79" s="77"/>
      <c r="Y79" s="77"/>
      <c r="Z79" s="77"/>
      <c r="AA79" s="77"/>
      <c r="AB79" s="77"/>
      <c r="AC79" s="77"/>
      <c r="AD79" s="77"/>
      <c r="AE79" s="77"/>
      <c r="AF79" s="77"/>
    </row>
    <row r="80" spans="1:32" ht="14.4" customHeight="1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90"/>
      <c r="K80" s="91"/>
      <c r="L80" s="91"/>
      <c r="M80" s="77"/>
      <c r="N80" s="77"/>
      <c r="O80" s="77"/>
      <c r="P80" s="77"/>
      <c r="Q80" s="77"/>
      <c r="R80" s="77"/>
      <c r="S80" s="77"/>
      <c r="T80" s="95"/>
      <c r="U80" s="95"/>
      <c r="V80" s="95"/>
      <c r="W80" s="77"/>
      <c r="X80" s="77"/>
      <c r="Y80" s="77"/>
      <c r="Z80" s="77"/>
      <c r="AA80" s="77"/>
      <c r="AB80" s="77"/>
      <c r="AC80" s="77"/>
      <c r="AD80" s="77"/>
      <c r="AE80" s="77"/>
      <c r="AF80" s="77"/>
    </row>
    <row r="81" spans="1:32" ht="14.4" customHeight="1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90"/>
      <c r="K81" s="91"/>
      <c r="L81" s="91"/>
      <c r="M81" s="77"/>
      <c r="N81" s="77"/>
      <c r="O81" s="77"/>
      <c r="P81" s="77"/>
      <c r="Q81" s="77"/>
      <c r="R81" s="77"/>
      <c r="S81" s="77"/>
      <c r="T81" s="95"/>
      <c r="U81" s="95"/>
      <c r="V81" s="95"/>
      <c r="W81" s="77"/>
      <c r="X81" s="77"/>
      <c r="Y81" s="77"/>
      <c r="Z81" s="77"/>
      <c r="AA81" s="77"/>
      <c r="AB81" s="77"/>
      <c r="AC81" s="77"/>
      <c r="AD81" s="77"/>
      <c r="AE81" s="77"/>
      <c r="AF81" s="77"/>
    </row>
    <row r="82" spans="1:32" ht="14.4" customHeight="1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90"/>
      <c r="K82" s="91"/>
      <c r="L82" s="91"/>
      <c r="M82" s="77"/>
      <c r="N82" s="77"/>
      <c r="O82" s="77"/>
      <c r="P82" s="77"/>
      <c r="Q82" s="77"/>
      <c r="R82" s="77"/>
      <c r="S82" s="77"/>
      <c r="T82" s="95"/>
      <c r="U82" s="95"/>
      <c r="V82" s="95"/>
      <c r="W82" s="77"/>
      <c r="X82" s="77"/>
      <c r="Y82" s="77"/>
      <c r="Z82" s="77"/>
      <c r="AA82" s="77"/>
      <c r="AB82" s="77"/>
      <c r="AC82" s="77"/>
      <c r="AD82" s="77"/>
      <c r="AE82" s="77"/>
      <c r="AF82" s="77"/>
    </row>
    <row r="83" spans="1:32" ht="14.4" customHeight="1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90"/>
      <c r="K83" s="91"/>
      <c r="L83" s="91"/>
      <c r="M83" s="77"/>
      <c r="N83" s="77"/>
      <c r="O83" s="77"/>
      <c r="P83" s="77"/>
      <c r="Q83" s="77"/>
      <c r="R83" s="77"/>
      <c r="S83" s="77"/>
      <c r="T83" s="95"/>
      <c r="U83" s="95"/>
      <c r="V83" s="95"/>
      <c r="W83" s="77"/>
      <c r="X83" s="77"/>
      <c r="Y83" s="77"/>
      <c r="Z83" s="77"/>
      <c r="AA83" s="77"/>
      <c r="AB83" s="77"/>
      <c r="AC83" s="77"/>
      <c r="AD83" s="77"/>
      <c r="AE83" s="77"/>
      <c r="AF83" s="77"/>
    </row>
    <row r="84" spans="1:32" ht="14.4" customHeight="1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90"/>
      <c r="K84" s="91"/>
      <c r="L84" s="91"/>
      <c r="M84" s="77"/>
      <c r="N84" s="77"/>
      <c r="O84" s="77"/>
      <c r="P84" s="77"/>
      <c r="Q84" s="77"/>
      <c r="R84" s="77"/>
      <c r="S84" s="77"/>
      <c r="T84" s="95"/>
      <c r="U84" s="95"/>
      <c r="V84" s="95"/>
      <c r="W84" s="77"/>
      <c r="X84" s="77"/>
      <c r="Y84" s="77"/>
      <c r="Z84" s="77"/>
      <c r="AA84" s="77"/>
      <c r="AB84" s="77"/>
      <c r="AC84" s="77"/>
      <c r="AD84" s="77"/>
      <c r="AE84" s="77"/>
      <c r="AF84" s="77"/>
    </row>
    <row r="85" spans="1:32" ht="14.4" customHeight="1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90"/>
      <c r="K85" s="91"/>
      <c r="L85" s="91"/>
      <c r="M85" s="77"/>
      <c r="N85" s="77"/>
      <c r="O85" s="77"/>
      <c r="P85" s="77"/>
      <c r="Q85" s="77"/>
      <c r="R85" s="77"/>
      <c r="S85" s="77"/>
      <c r="T85" s="95"/>
      <c r="U85" s="95"/>
      <c r="V85" s="95"/>
      <c r="W85" s="77"/>
      <c r="X85" s="77"/>
      <c r="Y85" s="77"/>
      <c r="Z85" s="77"/>
      <c r="AA85" s="77"/>
      <c r="AB85" s="77"/>
      <c r="AC85" s="77"/>
      <c r="AD85" s="77"/>
      <c r="AE85" s="77"/>
      <c r="AF85" s="77"/>
    </row>
    <row r="86" spans="1:32" ht="14.4" customHeight="1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90"/>
      <c r="K86" s="91"/>
      <c r="L86" s="91"/>
      <c r="M86" s="77"/>
      <c r="N86" s="77"/>
      <c r="O86" s="77"/>
      <c r="P86" s="77"/>
      <c r="Q86" s="77"/>
      <c r="R86" s="77"/>
      <c r="S86" s="77"/>
      <c r="T86" s="95"/>
      <c r="U86" s="95"/>
      <c r="V86" s="95"/>
      <c r="W86" s="77"/>
      <c r="X86" s="77"/>
      <c r="Y86" s="77"/>
      <c r="Z86" s="77"/>
      <c r="AA86" s="77"/>
      <c r="AB86" s="77"/>
      <c r="AC86" s="77"/>
      <c r="AD86" s="77"/>
      <c r="AE86" s="77"/>
      <c r="AF86" s="77"/>
    </row>
    <row r="87" spans="1:32" ht="14.4" customHeight="1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90"/>
      <c r="K87" s="91"/>
      <c r="L87" s="91"/>
      <c r="M87" s="77"/>
      <c r="N87" s="77"/>
      <c r="O87" s="77"/>
      <c r="P87" s="77"/>
      <c r="Q87" s="77"/>
      <c r="R87" s="77"/>
      <c r="S87" s="77"/>
      <c r="T87" s="95"/>
      <c r="U87" s="95"/>
      <c r="V87" s="95"/>
      <c r="W87" s="77"/>
      <c r="X87" s="77"/>
      <c r="Y87" s="77"/>
      <c r="Z87" s="77"/>
      <c r="AA87" s="77"/>
      <c r="AB87" s="77"/>
      <c r="AC87" s="77"/>
      <c r="AD87" s="77"/>
      <c r="AE87" s="77"/>
      <c r="AF87" s="77"/>
    </row>
    <row r="88" spans="1:32" ht="14.4" customHeight="1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90"/>
      <c r="K88" s="91"/>
      <c r="L88" s="91"/>
      <c r="M88" s="77"/>
      <c r="N88" s="77"/>
      <c r="O88" s="77"/>
      <c r="P88" s="77"/>
      <c r="Q88" s="77"/>
      <c r="R88" s="77"/>
      <c r="S88" s="77"/>
      <c r="T88" s="95"/>
      <c r="U88" s="95"/>
      <c r="V88" s="95"/>
      <c r="W88" s="77"/>
      <c r="X88" s="77"/>
      <c r="Y88" s="77"/>
      <c r="Z88" s="77"/>
      <c r="AA88" s="77"/>
      <c r="AB88" s="77"/>
      <c r="AC88" s="77"/>
      <c r="AD88" s="77"/>
      <c r="AE88" s="77"/>
      <c r="AF88" s="77"/>
    </row>
    <row r="89" spans="1:32" ht="14.4" customHeight="1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90"/>
      <c r="K89" s="91"/>
      <c r="L89" s="91"/>
      <c r="M89" s="77"/>
      <c r="N89" s="77"/>
      <c r="O89" s="77"/>
      <c r="P89" s="77"/>
      <c r="Q89" s="77"/>
      <c r="R89" s="77"/>
      <c r="S89" s="77"/>
      <c r="T89" s="95"/>
      <c r="U89" s="95"/>
      <c r="V89" s="95"/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 spans="1:32" ht="14.4" customHeight="1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90"/>
      <c r="K90" s="91"/>
      <c r="L90" s="91"/>
      <c r="M90" s="77"/>
      <c r="N90" s="77"/>
      <c r="O90" s="77"/>
      <c r="P90" s="77"/>
      <c r="Q90" s="77"/>
      <c r="R90" s="77"/>
      <c r="S90" s="77"/>
      <c r="T90" s="95"/>
      <c r="U90" s="95"/>
      <c r="V90" s="95"/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 spans="1:32" ht="14.4" customHeight="1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90"/>
      <c r="K91" s="91"/>
      <c r="L91" s="91"/>
      <c r="M91" s="77"/>
      <c r="N91" s="77"/>
      <c r="O91" s="77"/>
      <c r="P91" s="77"/>
      <c r="Q91" s="77"/>
      <c r="R91" s="77"/>
      <c r="S91" s="77"/>
      <c r="T91" s="95"/>
      <c r="U91" s="95"/>
      <c r="V91" s="95"/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 spans="1:32" ht="14.4" customHeight="1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90"/>
      <c r="K92" s="91"/>
      <c r="L92" s="91"/>
      <c r="M92" s="77"/>
      <c r="N92" s="77"/>
      <c r="O92" s="77"/>
      <c r="P92" s="77"/>
      <c r="Q92" s="77"/>
      <c r="R92" s="77"/>
      <c r="S92" s="77"/>
      <c r="T92" s="95"/>
      <c r="U92" s="95"/>
      <c r="V92" s="95"/>
      <c r="W92" s="77"/>
      <c r="X92" s="77"/>
      <c r="Y92" s="77"/>
      <c r="Z92" s="77"/>
      <c r="AA92" s="77"/>
      <c r="AB92" s="77"/>
      <c r="AC92" s="77"/>
      <c r="AD92" s="77"/>
      <c r="AE92" s="77"/>
      <c r="AF92" s="77"/>
    </row>
    <row r="93" spans="1:32" ht="14.4" customHeight="1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90"/>
      <c r="K93" s="91"/>
      <c r="L93" s="91"/>
      <c r="M93" s="77"/>
      <c r="N93" s="77"/>
      <c r="O93" s="77"/>
      <c r="P93" s="77"/>
      <c r="Q93" s="77"/>
      <c r="R93" s="77"/>
      <c r="S93" s="77"/>
      <c r="T93" s="95"/>
      <c r="U93" s="95"/>
      <c r="V93" s="95"/>
      <c r="W93" s="77"/>
      <c r="X93" s="77"/>
      <c r="Y93" s="77"/>
      <c r="Z93" s="77"/>
      <c r="AA93" s="77"/>
      <c r="AB93" s="77"/>
      <c r="AC93" s="77"/>
      <c r="AD93" s="77"/>
      <c r="AE93" s="77"/>
      <c r="AF93" s="77"/>
    </row>
    <row r="94" spans="1:32" ht="14.4" customHeight="1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90"/>
      <c r="K94" s="91"/>
      <c r="L94" s="91"/>
      <c r="M94" s="77"/>
      <c r="N94" s="77"/>
      <c r="O94" s="77"/>
      <c r="P94" s="77"/>
      <c r="Q94" s="77"/>
      <c r="R94" s="77"/>
      <c r="S94" s="77"/>
      <c r="T94" s="95"/>
      <c r="U94" s="95"/>
      <c r="V94" s="95"/>
      <c r="W94" s="77"/>
      <c r="X94" s="77"/>
      <c r="Y94" s="77"/>
      <c r="Z94" s="77"/>
      <c r="AA94" s="77"/>
      <c r="AB94" s="77"/>
      <c r="AC94" s="77"/>
      <c r="AD94" s="77"/>
      <c r="AE94" s="77"/>
      <c r="AF94" s="77"/>
    </row>
    <row r="95" spans="1:32" ht="14.4" customHeight="1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90"/>
      <c r="K95" s="91"/>
      <c r="L95" s="91"/>
      <c r="M95" s="77"/>
      <c r="N95" s="77"/>
      <c r="O95" s="77"/>
      <c r="P95" s="77"/>
      <c r="Q95" s="77"/>
      <c r="R95" s="77"/>
      <c r="S95" s="77"/>
      <c r="T95" s="95"/>
      <c r="U95" s="95"/>
      <c r="V95" s="95"/>
      <c r="W95" s="77"/>
      <c r="X95" s="77"/>
      <c r="Y95" s="77"/>
      <c r="Z95" s="77"/>
      <c r="AA95" s="77"/>
      <c r="AB95" s="77"/>
      <c r="AC95" s="77"/>
      <c r="AD95" s="77"/>
      <c r="AE95" s="77"/>
      <c r="AF95" s="77"/>
    </row>
    <row r="96" spans="1:32" ht="14.4" customHeigh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90"/>
      <c r="K96" s="91"/>
      <c r="L96" s="91"/>
      <c r="M96" s="77"/>
      <c r="N96" s="77"/>
      <c r="O96" s="77"/>
      <c r="P96" s="77"/>
      <c r="Q96" s="77"/>
      <c r="R96" s="77"/>
      <c r="S96" s="77"/>
      <c r="T96" s="95"/>
      <c r="U96" s="95"/>
      <c r="V96" s="95"/>
      <c r="W96" s="77"/>
      <c r="X96" s="77"/>
      <c r="Y96" s="77"/>
      <c r="Z96" s="77"/>
      <c r="AA96" s="77"/>
      <c r="AB96" s="77"/>
      <c r="AC96" s="77"/>
      <c r="AD96" s="77"/>
      <c r="AE96" s="77"/>
      <c r="AF96" s="77"/>
    </row>
    <row r="97" spans="1:32" ht="14.4" customHeight="1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90"/>
      <c r="K97" s="91"/>
      <c r="L97" s="91"/>
      <c r="M97" s="77"/>
      <c r="N97" s="77"/>
      <c r="O97" s="77"/>
      <c r="P97" s="77"/>
      <c r="Q97" s="77"/>
      <c r="R97" s="77"/>
      <c r="S97" s="77"/>
      <c r="T97" s="95"/>
      <c r="U97" s="95"/>
      <c r="V97" s="95"/>
      <c r="W97" s="77"/>
      <c r="X97" s="77"/>
      <c r="Y97" s="77"/>
      <c r="Z97" s="77"/>
      <c r="AA97" s="77"/>
      <c r="AB97" s="77"/>
      <c r="AC97" s="77"/>
      <c r="AD97" s="77"/>
      <c r="AE97" s="77"/>
      <c r="AF97" s="77"/>
    </row>
    <row r="98" spans="1:32" ht="14.4" customHeight="1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90"/>
      <c r="K98" s="91"/>
      <c r="L98" s="91"/>
      <c r="M98" s="77"/>
      <c r="N98" s="77"/>
      <c r="O98" s="77"/>
      <c r="P98" s="77"/>
      <c r="Q98" s="77"/>
      <c r="R98" s="77"/>
      <c r="S98" s="77"/>
      <c r="T98" s="95"/>
      <c r="U98" s="95"/>
      <c r="V98" s="95"/>
      <c r="W98" s="77"/>
      <c r="X98" s="77"/>
      <c r="Y98" s="77"/>
      <c r="Z98" s="77"/>
      <c r="AA98" s="77"/>
      <c r="AB98" s="77"/>
      <c r="AC98" s="77"/>
      <c r="AD98" s="77"/>
      <c r="AE98" s="77"/>
      <c r="AF98" s="77"/>
    </row>
    <row r="99" spans="1:32" ht="14.4" customHeight="1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90"/>
      <c r="K99" s="91"/>
      <c r="L99" s="91"/>
      <c r="M99" s="77"/>
      <c r="N99" s="77"/>
      <c r="O99" s="77"/>
      <c r="P99" s="77"/>
      <c r="Q99" s="77"/>
      <c r="R99" s="77"/>
      <c r="S99" s="77"/>
      <c r="T99" s="95"/>
      <c r="U99" s="95"/>
      <c r="V99" s="95"/>
      <c r="W99" s="77"/>
      <c r="X99" s="77"/>
      <c r="Y99" s="77"/>
      <c r="Z99" s="77"/>
      <c r="AA99" s="77"/>
      <c r="AB99" s="77"/>
      <c r="AC99" s="77"/>
      <c r="AD99" s="77"/>
      <c r="AE99" s="77"/>
      <c r="AF99" s="77"/>
    </row>
    <row r="100" spans="1:32" ht="14.4" customHeight="1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90"/>
      <c r="K100" s="91"/>
      <c r="L100" s="91"/>
      <c r="M100" s="77"/>
      <c r="N100" s="77"/>
      <c r="O100" s="77"/>
      <c r="P100" s="77"/>
      <c r="Q100" s="77"/>
      <c r="R100" s="77"/>
      <c r="S100" s="77"/>
      <c r="T100" s="95"/>
      <c r="U100" s="95"/>
      <c r="V100" s="95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</row>
    <row r="101" spans="1:32" ht="14.4" customHeight="1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90"/>
      <c r="K101" s="91"/>
      <c r="L101" s="91"/>
      <c r="M101" s="77"/>
      <c r="N101" s="77"/>
      <c r="O101" s="77"/>
      <c r="P101" s="77"/>
      <c r="Q101" s="77"/>
      <c r="R101" s="77"/>
      <c r="S101" s="77"/>
      <c r="T101" s="95"/>
      <c r="U101" s="95"/>
      <c r="V101" s="95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 spans="1:32" ht="14.4" customHeight="1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90"/>
      <c r="K102" s="91"/>
      <c r="L102" s="91"/>
      <c r="M102" s="77"/>
      <c r="N102" s="77"/>
      <c r="O102" s="77"/>
      <c r="P102" s="77"/>
      <c r="Q102" s="77"/>
      <c r="R102" s="77"/>
      <c r="S102" s="77"/>
      <c r="T102" s="95"/>
      <c r="U102" s="95"/>
      <c r="V102" s="95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 spans="1:32" ht="14.4" customHeight="1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90"/>
      <c r="K103" s="91"/>
      <c r="L103" s="91"/>
      <c r="M103" s="77"/>
      <c r="N103" s="77"/>
      <c r="O103" s="77"/>
      <c r="P103" s="77"/>
      <c r="Q103" s="77"/>
      <c r="R103" s="77"/>
      <c r="S103" s="77"/>
      <c r="T103" s="95"/>
      <c r="U103" s="95"/>
      <c r="V103" s="95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</row>
    <row r="104" spans="1:32" ht="14.4" customHeight="1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90"/>
      <c r="K104" s="91"/>
      <c r="L104" s="91"/>
      <c r="M104" s="77"/>
      <c r="N104" s="77"/>
      <c r="O104" s="77"/>
      <c r="P104" s="77"/>
      <c r="Q104" s="77"/>
      <c r="R104" s="77"/>
      <c r="S104" s="77"/>
      <c r="T104" s="95"/>
      <c r="U104" s="95"/>
      <c r="V104" s="95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 spans="1:32" ht="14.4" customHeight="1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90"/>
      <c r="K105" s="91"/>
      <c r="L105" s="91"/>
      <c r="M105" s="77"/>
      <c r="N105" s="77"/>
      <c r="O105" s="77"/>
      <c r="P105" s="77"/>
      <c r="Q105" s="77"/>
      <c r="R105" s="77"/>
      <c r="S105" s="77"/>
      <c r="T105" s="95"/>
      <c r="U105" s="95"/>
      <c r="V105" s="95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 spans="1:32" ht="12" customHeight="1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90"/>
      <c r="K106" s="91"/>
      <c r="L106" s="91"/>
      <c r="M106" s="77"/>
      <c r="N106" s="77"/>
      <c r="O106" s="77"/>
      <c r="P106" s="77"/>
      <c r="Q106" s="77"/>
      <c r="R106" s="77"/>
      <c r="S106" s="77"/>
      <c r="T106" s="95"/>
      <c r="U106" s="95"/>
      <c r="V106" s="95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 spans="1:32" ht="12" customHeight="1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90"/>
      <c r="K107" s="91"/>
      <c r="L107" s="91"/>
      <c r="M107" s="77"/>
      <c r="N107" s="77"/>
      <c r="O107" s="77"/>
      <c r="P107" s="77"/>
      <c r="Q107" s="77"/>
      <c r="R107" s="77"/>
      <c r="S107" s="77"/>
      <c r="T107" s="95"/>
      <c r="U107" s="95"/>
      <c r="V107" s="95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 spans="1:32" ht="12" customHeight="1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90"/>
      <c r="K108" s="91"/>
      <c r="L108" s="91"/>
      <c r="M108" s="77"/>
      <c r="N108" s="77"/>
      <c r="O108" s="77"/>
      <c r="P108" s="77"/>
      <c r="Q108" s="77"/>
      <c r="R108" s="77"/>
      <c r="S108" s="77"/>
      <c r="T108" s="95"/>
      <c r="U108" s="95"/>
      <c r="V108" s="95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 spans="1:32" ht="12" customHeigh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90"/>
      <c r="K109" s="91"/>
      <c r="L109" s="91"/>
      <c r="M109" s="77"/>
      <c r="N109" s="77"/>
      <c r="O109" s="77"/>
      <c r="P109" s="77"/>
      <c r="Q109" s="77"/>
      <c r="R109" s="77"/>
      <c r="S109" s="77"/>
      <c r="T109" s="95"/>
      <c r="U109" s="95"/>
      <c r="V109" s="95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 spans="1:32" ht="12" customHeight="1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90"/>
      <c r="K110" s="91"/>
      <c r="L110" s="91"/>
      <c r="M110" s="77"/>
      <c r="N110" s="77"/>
      <c r="O110" s="77"/>
      <c r="P110" s="77"/>
      <c r="Q110" s="77"/>
      <c r="R110" s="77"/>
      <c r="S110" s="77"/>
      <c r="T110" s="95"/>
      <c r="U110" s="95"/>
      <c r="V110" s="95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 spans="1:32" ht="14.4" customHeight="1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90"/>
      <c r="K111" s="91"/>
      <c r="L111" s="91"/>
      <c r="M111" s="77"/>
      <c r="N111" s="77"/>
      <c r="O111" s="77"/>
      <c r="P111" s="77"/>
      <c r="Q111" s="77"/>
      <c r="R111" s="77"/>
      <c r="S111" s="77"/>
      <c r="T111" s="95"/>
      <c r="U111" s="95"/>
      <c r="V111" s="95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 spans="1:32" ht="14.4" customHeight="1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90"/>
      <c r="K112" s="91"/>
      <c r="L112" s="91"/>
      <c r="M112" s="77"/>
      <c r="N112" s="77"/>
      <c r="O112" s="77"/>
      <c r="P112" s="77"/>
      <c r="Q112" s="77"/>
      <c r="R112" s="77"/>
      <c r="S112" s="77"/>
      <c r="T112" s="95"/>
      <c r="U112" s="95"/>
      <c r="V112" s="95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 spans="1:32" ht="14.4" customHeight="1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90"/>
      <c r="K113" s="91"/>
      <c r="L113" s="91"/>
      <c r="M113" s="77"/>
      <c r="N113" s="77"/>
      <c r="O113" s="77"/>
      <c r="P113" s="77"/>
      <c r="Q113" s="77"/>
      <c r="R113" s="77"/>
      <c r="S113" s="77"/>
      <c r="T113" s="95"/>
      <c r="U113" s="95"/>
      <c r="V113" s="95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 spans="1:32" ht="14.4" customHeight="1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90"/>
      <c r="K114" s="91"/>
      <c r="L114" s="91"/>
      <c r="M114" s="77"/>
      <c r="N114" s="77"/>
      <c r="O114" s="77"/>
      <c r="P114" s="77"/>
      <c r="Q114" s="77"/>
      <c r="R114" s="77"/>
      <c r="S114" s="77"/>
      <c r="T114" s="95"/>
      <c r="U114" s="95"/>
      <c r="V114" s="95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 spans="1:32" ht="14.4" customHeight="1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90"/>
      <c r="K115" s="91"/>
      <c r="L115" s="91"/>
      <c r="M115" s="77"/>
      <c r="N115" s="77"/>
      <c r="O115" s="77"/>
      <c r="P115" s="77"/>
      <c r="Q115" s="77"/>
      <c r="R115" s="77"/>
      <c r="S115" s="77"/>
      <c r="T115" s="95"/>
      <c r="U115" s="95"/>
      <c r="V115" s="95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 spans="1:32" ht="14.4" customHeight="1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90"/>
      <c r="K116" s="91"/>
      <c r="L116" s="91"/>
      <c r="M116" s="77"/>
      <c r="N116" s="77"/>
      <c r="O116" s="77"/>
      <c r="P116" s="77"/>
      <c r="Q116" s="77"/>
      <c r="R116" s="77"/>
      <c r="S116" s="77"/>
      <c r="T116" s="95"/>
      <c r="U116" s="95"/>
      <c r="V116" s="95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 spans="1:32" ht="14.4" customHeight="1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90"/>
      <c r="K117" s="91"/>
      <c r="L117" s="91"/>
      <c r="M117" s="77"/>
      <c r="N117" s="77"/>
      <c r="O117" s="77"/>
      <c r="P117" s="77"/>
      <c r="Q117" s="77"/>
      <c r="R117" s="77"/>
      <c r="S117" s="77"/>
      <c r="T117" s="95"/>
      <c r="U117" s="95"/>
      <c r="V117" s="95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 spans="1:32" ht="14.4" customHeight="1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90"/>
      <c r="K118" s="91"/>
      <c r="L118" s="91"/>
      <c r="M118" s="77"/>
      <c r="N118" s="77"/>
      <c r="O118" s="77"/>
      <c r="P118" s="77"/>
      <c r="Q118" s="77"/>
      <c r="R118" s="77"/>
      <c r="S118" s="77"/>
      <c r="T118" s="95"/>
      <c r="U118" s="95"/>
      <c r="V118" s="95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 spans="1:32" ht="14.4" customHeight="1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90"/>
      <c r="K119" s="91"/>
      <c r="L119" s="91"/>
      <c r="M119" s="77"/>
      <c r="N119" s="77"/>
      <c r="O119" s="77"/>
      <c r="P119" s="77"/>
      <c r="Q119" s="77"/>
      <c r="R119" s="77"/>
      <c r="S119" s="77"/>
      <c r="T119" s="95"/>
      <c r="U119" s="95"/>
      <c r="V119" s="95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 spans="1:32" ht="12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90"/>
      <c r="K120" s="91"/>
      <c r="L120" s="91"/>
      <c r="M120" s="77"/>
      <c r="N120" s="77"/>
      <c r="O120" s="77"/>
      <c r="P120" s="77"/>
      <c r="Q120" s="77"/>
      <c r="R120" s="77"/>
      <c r="S120" s="77"/>
      <c r="T120" s="95"/>
      <c r="U120" s="95"/>
      <c r="V120" s="95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 spans="1:32" ht="12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90"/>
      <c r="K121" s="91"/>
      <c r="L121" s="91"/>
      <c r="M121" s="77"/>
      <c r="N121" s="77"/>
      <c r="O121" s="77"/>
      <c r="P121" s="77"/>
      <c r="Q121" s="77"/>
      <c r="R121" s="77"/>
      <c r="S121" s="77"/>
      <c r="T121" s="95"/>
      <c r="U121" s="95"/>
      <c r="V121" s="95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 spans="1:32" ht="14.4" customHeight="1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90"/>
      <c r="K122" s="91"/>
      <c r="L122" s="91"/>
      <c r="M122" s="77"/>
      <c r="N122" s="77"/>
      <c r="O122" s="77"/>
      <c r="P122" s="77"/>
      <c r="Q122" s="77"/>
      <c r="R122" s="77"/>
      <c r="S122" s="77"/>
      <c r="T122" s="95"/>
      <c r="U122" s="95"/>
      <c r="V122" s="95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 spans="1:32" ht="14.4" customHeight="1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90"/>
      <c r="K123" s="91"/>
      <c r="L123" s="91"/>
      <c r="M123" s="77"/>
      <c r="N123" s="77"/>
      <c r="O123" s="77"/>
      <c r="P123" s="77"/>
      <c r="Q123" s="77"/>
      <c r="R123" s="77"/>
      <c r="S123" s="77"/>
      <c r="T123" s="95"/>
      <c r="U123" s="95"/>
      <c r="V123" s="95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 spans="1:32" ht="14.4" customHeigh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90"/>
      <c r="K124" s="91"/>
      <c r="L124" s="91"/>
      <c r="M124" s="77"/>
      <c r="N124" s="77"/>
      <c r="O124" s="77"/>
      <c r="P124" s="77"/>
      <c r="Q124" s="77"/>
      <c r="R124" s="77"/>
      <c r="S124" s="77"/>
      <c r="T124" s="95"/>
      <c r="U124" s="95"/>
      <c r="V124" s="95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 spans="1:32" ht="14.4" customHeight="1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90"/>
      <c r="K125" s="91"/>
      <c r="L125" s="91"/>
      <c r="M125" s="77"/>
      <c r="N125" s="77"/>
      <c r="O125" s="77"/>
      <c r="P125" s="77"/>
      <c r="Q125" s="77"/>
      <c r="R125" s="77"/>
      <c r="S125" s="77"/>
      <c r="T125" s="95"/>
      <c r="U125" s="95"/>
      <c r="V125" s="95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spans="1:32" ht="14.4" customHeight="1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90"/>
      <c r="K126" s="91"/>
      <c r="L126" s="91"/>
      <c r="M126" s="77"/>
      <c r="N126" s="77"/>
      <c r="O126" s="77"/>
      <c r="P126" s="77"/>
      <c r="Q126" s="77"/>
      <c r="R126" s="77"/>
      <c r="S126" s="77"/>
      <c r="T126" s="95"/>
      <c r="U126" s="95"/>
      <c r="V126" s="95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 spans="1:32" ht="14.4" customHeight="1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90"/>
      <c r="K127" s="91"/>
      <c r="L127" s="91"/>
      <c r="M127" s="77"/>
      <c r="N127" s="77"/>
      <c r="O127" s="77"/>
      <c r="P127" s="77"/>
      <c r="Q127" s="77"/>
      <c r="R127" s="77"/>
      <c r="S127" s="77"/>
      <c r="T127" s="95"/>
      <c r="U127" s="95"/>
      <c r="V127" s="95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 spans="1:32" ht="14.4" customHeight="1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90"/>
      <c r="K128" s="91"/>
      <c r="L128" s="91"/>
      <c r="M128" s="77"/>
      <c r="N128" s="77"/>
      <c r="O128" s="77"/>
      <c r="P128" s="77"/>
      <c r="Q128" s="77"/>
      <c r="R128" s="77"/>
      <c r="S128" s="77"/>
      <c r="T128" s="95"/>
      <c r="U128" s="95"/>
      <c r="V128" s="95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 spans="1:32" ht="14.4" customHeight="1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90"/>
      <c r="K129" s="91"/>
      <c r="L129" s="91"/>
      <c r="M129" s="77"/>
      <c r="N129" s="77"/>
      <c r="O129" s="77"/>
      <c r="P129" s="77"/>
      <c r="Q129" s="77"/>
      <c r="R129" s="77"/>
      <c r="S129" s="77"/>
      <c r="T129" s="95"/>
      <c r="U129" s="95"/>
      <c r="V129" s="95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 spans="1:32" ht="14.4" customHeight="1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90"/>
      <c r="K130" s="91"/>
      <c r="L130" s="91"/>
      <c r="M130" s="77"/>
      <c r="N130" s="77"/>
      <c r="O130" s="77"/>
      <c r="P130" s="77"/>
      <c r="Q130" s="77"/>
      <c r="R130" s="77"/>
      <c r="S130" s="77"/>
      <c r="T130" s="95"/>
      <c r="U130" s="95"/>
      <c r="V130" s="95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 spans="1:32" ht="14.4" customHeight="1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90"/>
      <c r="K131" s="91"/>
      <c r="L131" s="91"/>
      <c r="M131" s="77"/>
      <c r="N131" s="77"/>
      <c r="O131" s="77"/>
      <c r="P131" s="77"/>
      <c r="Q131" s="77"/>
      <c r="R131" s="77"/>
      <c r="S131" s="77"/>
      <c r="T131" s="95"/>
      <c r="U131" s="95"/>
      <c r="V131" s="95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 spans="1:32" ht="14.4" customHeight="1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90"/>
      <c r="K132" s="91"/>
      <c r="L132" s="91"/>
      <c r="M132" s="77"/>
      <c r="N132" s="77"/>
      <c r="O132" s="77"/>
      <c r="P132" s="77"/>
      <c r="Q132" s="77"/>
      <c r="R132" s="77"/>
      <c r="S132" s="77"/>
      <c r="T132" s="95"/>
      <c r="U132" s="95"/>
      <c r="V132" s="95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 spans="1:32" ht="14.4" customHeight="1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90"/>
      <c r="K133" s="91"/>
      <c r="L133" s="91"/>
      <c r="M133" s="77"/>
      <c r="N133" s="77"/>
      <c r="O133" s="77"/>
      <c r="P133" s="77"/>
      <c r="Q133" s="77"/>
      <c r="R133" s="77"/>
      <c r="S133" s="77"/>
      <c r="T133" s="95"/>
      <c r="U133" s="95"/>
      <c r="V133" s="95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 spans="1:32" ht="14.4" customHeight="1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90"/>
      <c r="K134" s="91"/>
      <c r="L134" s="91"/>
      <c r="M134" s="77"/>
      <c r="N134" s="77"/>
      <c r="O134" s="77"/>
      <c r="P134" s="77"/>
      <c r="Q134" s="77"/>
      <c r="R134" s="77"/>
      <c r="S134" s="77"/>
      <c r="T134" s="95"/>
      <c r="U134" s="95"/>
      <c r="V134" s="95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 spans="1:32" ht="14.4" customHeight="1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90"/>
      <c r="K135" s="91"/>
      <c r="L135" s="91"/>
      <c r="M135" s="77"/>
      <c r="N135" s="77"/>
      <c r="O135" s="77"/>
      <c r="P135" s="77"/>
      <c r="Q135" s="77"/>
      <c r="R135" s="77"/>
      <c r="S135" s="77"/>
      <c r="T135" s="95"/>
      <c r="U135" s="95"/>
      <c r="V135" s="95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 spans="1:32" ht="14.4" customHeight="1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90"/>
      <c r="K136" s="91"/>
      <c r="L136" s="91"/>
      <c r="M136" s="77"/>
      <c r="N136" s="77"/>
      <c r="O136" s="77"/>
      <c r="P136" s="77"/>
      <c r="Q136" s="77"/>
      <c r="R136" s="77"/>
      <c r="S136" s="77"/>
      <c r="T136" s="95"/>
      <c r="U136" s="95"/>
      <c r="V136" s="95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 spans="1:32" ht="14.4" customHeight="1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90"/>
      <c r="K137" s="91"/>
      <c r="L137" s="91"/>
      <c r="M137" s="77"/>
      <c r="N137" s="77"/>
      <c r="O137" s="77"/>
      <c r="P137" s="77"/>
      <c r="Q137" s="77"/>
      <c r="R137" s="77"/>
      <c r="S137" s="77"/>
      <c r="T137" s="95"/>
      <c r="U137" s="95"/>
      <c r="V137" s="95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 spans="1:32" ht="14.4" customHeight="1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90"/>
      <c r="K138" s="91"/>
      <c r="L138" s="91"/>
      <c r="M138" s="77"/>
      <c r="N138" s="77"/>
      <c r="O138" s="77"/>
      <c r="P138" s="77"/>
      <c r="Q138" s="77"/>
      <c r="R138" s="77"/>
      <c r="S138" s="77"/>
      <c r="T138" s="95"/>
      <c r="U138" s="95"/>
      <c r="V138" s="95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 spans="1:32" ht="14.4" customHeigh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90"/>
      <c r="K139" s="91"/>
      <c r="L139" s="91"/>
      <c r="M139" s="77"/>
      <c r="N139" s="77"/>
      <c r="O139" s="77"/>
      <c r="P139" s="77"/>
      <c r="Q139" s="77"/>
      <c r="R139" s="77"/>
      <c r="S139" s="77"/>
      <c r="T139" s="95"/>
      <c r="U139" s="95"/>
      <c r="V139" s="95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 spans="1:32" ht="14.4" customHeight="1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90"/>
      <c r="K140" s="91"/>
      <c r="L140" s="91"/>
      <c r="M140" s="77"/>
      <c r="N140" s="77"/>
      <c r="O140" s="77"/>
      <c r="P140" s="77"/>
      <c r="Q140" s="77"/>
      <c r="R140" s="77"/>
      <c r="S140" s="77"/>
      <c r="T140" s="95"/>
      <c r="U140" s="95"/>
      <c r="V140" s="95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 spans="1:32" ht="14.4" customHeight="1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90"/>
      <c r="K141" s="91"/>
      <c r="L141" s="91"/>
      <c r="M141" s="77"/>
      <c r="N141" s="77"/>
      <c r="O141" s="77"/>
      <c r="P141" s="77"/>
      <c r="Q141" s="77"/>
      <c r="R141" s="77"/>
      <c r="S141" s="77"/>
      <c r="T141" s="95"/>
      <c r="U141" s="95"/>
      <c r="V141" s="95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 spans="1:32" ht="14.4" customHeight="1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90"/>
      <c r="K142" s="91"/>
      <c r="L142" s="91"/>
      <c r="M142" s="77"/>
      <c r="N142" s="77"/>
      <c r="O142" s="77"/>
      <c r="P142" s="77"/>
      <c r="Q142" s="77"/>
      <c r="R142" s="77"/>
      <c r="S142" s="77"/>
      <c r="T142" s="95"/>
      <c r="U142" s="95"/>
      <c r="V142" s="95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 spans="1:32" ht="14.4" customHeight="1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90"/>
      <c r="K143" s="91"/>
      <c r="L143" s="91"/>
      <c r="M143" s="77"/>
      <c r="N143" s="77"/>
      <c r="O143" s="77"/>
      <c r="P143" s="77"/>
      <c r="Q143" s="77"/>
      <c r="R143" s="77"/>
      <c r="S143" s="77"/>
      <c r="T143" s="95"/>
      <c r="U143" s="95"/>
      <c r="V143" s="95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 spans="1:32" ht="14.4" customHeight="1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90"/>
      <c r="K144" s="91"/>
      <c r="L144" s="91"/>
      <c r="M144" s="77"/>
      <c r="N144" s="77"/>
      <c r="O144" s="77"/>
      <c r="P144" s="77"/>
      <c r="Q144" s="77"/>
      <c r="R144" s="77"/>
      <c r="S144" s="77"/>
      <c r="T144" s="95"/>
      <c r="U144" s="95"/>
      <c r="V144" s="95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 spans="1:32" ht="14.4" customHeight="1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90"/>
      <c r="K145" s="91"/>
      <c r="L145" s="91"/>
      <c r="M145" s="77"/>
      <c r="N145" s="77"/>
      <c r="O145" s="77"/>
      <c r="P145" s="77"/>
      <c r="Q145" s="77"/>
      <c r="R145" s="77"/>
      <c r="S145" s="77"/>
      <c r="T145" s="95"/>
      <c r="U145" s="95"/>
      <c r="V145" s="95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 spans="1:32" ht="14.4" customHeight="1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90"/>
      <c r="K146" s="91"/>
      <c r="L146" s="91"/>
      <c r="M146" s="77"/>
      <c r="N146" s="77"/>
      <c r="O146" s="77"/>
      <c r="P146" s="77"/>
      <c r="Q146" s="77"/>
      <c r="R146" s="77"/>
      <c r="S146" s="77"/>
      <c r="T146" s="95"/>
      <c r="U146" s="95"/>
      <c r="V146" s="95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 spans="1:32" ht="14.4" customHeight="1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90"/>
      <c r="K147" s="91"/>
      <c r="L147" s="91"/>
      <c r="M147" s="77"/>
      <c r="N147" s="77"/>
      <c r="O147" s="77"/>
      <c r="P147" s="77"/>
      <c r="Q147" s="77"/>
      <c r="R147" s="77"/>
      <c r="S147" s="77"/>
      <c r="T147" s="95"/>
      <c r="U147" s="95"/>
      <c r="V147" s="95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 spans="1:32" ht="14.4" customHeight="1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90"/>
      <c r="K148" s="91"/>
      <c r="L148" s="91"/>
      <c r="M148" s="77"/>
      <c r="N148" s="77"/>
      <c r="O148" s="77"/>
      <c r="P148" s="77"/>
      <c r="Q148" s="77"/>
      <c r="R148" s="77"/>
      <c r="S148" s="77"/>
      <c r="T148" s="95"/>
      <c r="U148" s="95"/>
      <c r="V148" s="95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 spans="1:32" ht="14.4" customHeight="1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90"/>
      <c r="K149" s="91"/>
      <c r="L149" s="91"/>
      <c r="M149" s="77"/>
      <c r="N149" s="77"/>
      <c r="O149" s="77"/>
      <c r="P149" s="77"/>
      <c r="Q149" s="77"/>
      <c r="R149" s="77"/>
      <c r="S149" s="77"/>
      <c r="T149" s="95"/>
      <c r="U149" s="95"/>
      <c r="V149" s="95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 spans="1:32" ht="14.4" customHeight="1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90"/>
      <c r="K150" s="91"/>
      <c r="L150" s="91"/>
      <c r="M150" s="77"/>
      <c r="N150" s="77"/>
      <c r="O150" s="77"/>
      <c r="P150" s="77"/>
      <c r="Q150" s="77"/>
      <c r="R150" s="77"/>
      <c r="S150" s="77"/>
      <c r="T150" s="95"/>
      <c r="U150" s="95"/>
      <c r="V150" s="95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 spans="1:32" ht="14.4" customHeight="1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90"/>
      <c r="K151" s="91"/>
      <c r="L151" s="91"/>
      <c r="M151" s="77"/>
      <c r="N151" s="77"/>
      <c r="O151" s="77"/>
      <c r="P151" s="77"/>
      <c r="Q151" s="77"/>
      <c r="R151" s="77"/>
      <c r="S151" s="77"/>
      <c r="T151" s="95"/>
      <c r="U151" s="95"/>
      <c r="V151" s="95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 spans="1:32" ht="14.4" customHeight="1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90"/>
      <c r="K152" s="91"/>
      <c r="L152" s="91"/>
      <c r="M152" s="77"/>
      <c r="N152" s="77"/>
      <c r="O152" s="77"/>
      <c r="P152" s="77"/>
      <c r="Q152" s="77"/>
      <c r="R152" s="77"/>
      <c r="S152" s="77"/>
      <c r="T152" s="95"/>
      <c r="U152" s="95"/>
      <c r="V152" s="95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 spans="1:32" ht="14.4" customHeight="1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90"/>
      <c r="K153" s="91"/>
      <c r="L153" s="91"/>
      <c r="M153" s="77"/>
      <c r="N153" s="77"/>
      <c r="O153" s="77"/>
      <c r="P153" s="77"/>
      <c r="Q153" s="77"/>
      <c r="R153" s="77"/>
      <c r="S153" s="77"/>
      <c r="T153" s="95"/>
      <c r="U153" s="95"/>
      <c r="V153" s="95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 spans="1:32" ht="14.4" customHeigh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90"/>
      <c r="K154" s="91"/>
      <c r="L154" s="91"/>
      <c r="M154" s="77"/>
      <c r="N154" s="77"/>
      <c r="O154" s="77"/>
      <c r="P154" s="77"/>
      <c r="Q154" s="77"/>
      <c r="R154" s="77"/>
      <c r="S154" s="77"/>
      <c r="T154" s="95"/>
      <c r="U154" s="95"/>
      <c r="V154" s="95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 spans="1:32" ht="14.4" customHeight="1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90"/>
      <c r="K155" s="91"/>
      <c r="L155" s="91"/>
      <c r="M155" s="77"/>
      <c r="N155" s="77"/>
      <c r="O155" s="77"/>
      <c r="P155" s="77"/>
      <c r="Q155" s="77"/>
      <c r="R155" s="77"/>
      <c r="S155" s="77"/>
      <c r="T155" s="95"/>
      <c r="U155" s="95"/>
      <c r="V155" s="95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 spans="1:32" ht="14.4" customHeight="1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90"/>
      <c r="K156" s="91"/>
      <c r="L156" s="91"/>
      <c r="M156" s="77"/>
      <c r="N156" s="77"/>
      <c r="O156" s="77"/>
      <c r="P156" s="77"/>
      <c r="Q156" s="77"/>
      <c r="R156" s="77"/>
      <c r="S156" s="77"/>
      <c r="T156" s="95"/>
      <c r="U156" s="95"/>
      <c r="V156" s="95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 spans="1:32" ht="14.4" customHeight="1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90"/>
      <c r="K157" s="91"/>
      <c r="L157" s="91"/>
      <c r="M157" s="77"/>
      <c r="N157" s="77"/>
      <c r="O157" s="77"/>
      <c r="P157" s="77"/>
      <c r="Q157" s="77"/>
      <c r="R157" s="77"/>
      <c r="S157" s="77"/>
      <c r="T157" s="95"/>
      <c r="U157" s="95"/>
      <c r="V157" s="95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 spans="1:32" ht="14.4" customHeight="1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90"/>
      <c r="K158" s="91"/>
      <c r="L158" s="91"/>
      <c r="M158" s="77"/>
      <c r="N158" s="77"/>
      <c r="O158" s="77"/>
      <c r="P158" s="77"/>
      <c r="Q158" s="77"/>
      <c r="R158" s="77"/>
      <c r="S158" s="77"/>
      <c r="T158" s="95"/>
      <c r="U158" s="95"/>
      <c r="V158" s="95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 spans="1:32" ht="14.4" customHeight="1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90"/>
      <c r="K159" s="91"/>
      <c r="L159" s="91"/>
      <c r="M159" s="77"/>
      <c r="N159" s="77"/>
      <c r="O159" s="77"/>
      <c r="P159" s="77"/>
      <c r="Q159" s="77"/>
      <c r="R159" s="77"/>
      <c r="S159" s="77"/>
      <c r="T159" s="95"/>
      <c r="U159" s="95"/>
      <c r="V159" s="95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 spans="1:32" ht="14.4" customHeight="1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90"/>
      <c r="K160" s="91"/>
      <c r="L160" s="91"/>
      <c r="M160" s="77"/>
      <c r="N160" s="77"/>
      <c r="O160" s="77"/>
      <c r="P160" s="77"/>
      <c r="Q160" s="77"/>
      <c r="R160" s="77"/>
      <c r="S160" s="77"/>
      <c r="T160" s="95"/>
      <c r="U160" s="95"/>
      <c r="V160" s="95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 spans="1:32" ht="14.4" customHeight="1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90"/>
      <c r="K161" s="91"/>
      <c r="L161" s="91"/>
      <c r="M161" s="77"/>
      <c r="N161" s="77"/>
      <c r="O161" s="77"/>
      <c r="P161" s="77"/>
      <c r="Q161" s="77"/>
      <c r="R161" s="77"/>
      <c r="S161" s="77"/>
      <c r="T161" s="95"/>
      <c r="U161" s="95"/>
      <c r="V161" s="95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 spans="1:32" ht="14.4" customHeight="1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90"/>
      <c r="K162" s="91"/>
      <c r="L162" s="91"/>
      <c r="M162" s="77"/>
      <c r="N162" s="77"/>
      <c r="O162" s="77"/>
      <c r="P162" s="77"/>
      <c r="Q162" s="77"/>
      <c r="R162" s="77"/>
      <c r="S162" s="77"/>
      <c r="T162" s="95"/>
      <c r="U162" s="95"/>
      <c r="V162" s="95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 spans="1:32" ht="14.4" customHeight="1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90"/>
      <c r="K163" s="91"/>
      <c r="L163" s="91"/>
      <c r="M163" s="77"/>
      <c r="N163" s="77"/>
      <c r="O163" s="77"/>
      <c r="P163" s="77"/>
      <c r="Q163" s="77"/>
      <c r="R163" s="77"/>
      <c r="S163" s="77"/>
      <c r="T163" s="95"/>
      <c r="U163" s="95"/>
      <c r="V163" s="95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 spans="1:32" ht="14.4" customHeight="1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90"/>
      <c r="K164" s="91"/>
      <c r="L164" s="91"/>
      <c r="M164" s="77"/>
      <c r="N164" s="77"/>
      <c r="O164" s="77"/>
      <c r="P164" s="77"/>
      <c r="Q164" s="77"/>
      <c r="R164" s="77"/>
      <c r="S164" s="77"/>
      <c r="T164" s="95"/>
      <c r="U164" s="95"/>
      <c r="V164" s="95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 spans="1:32" ht="14.4" customHeight="1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90"/>
      <c r="K165" s="91"/>
      <c r="L165" s="91"/>
      <c r="M165" s="77"/>
      <c r="N165" s="77"/>
      <c r="O165" s="77"/>
      <c r="P165" s="77"/>
      <c r="Q165" s="77"/>
      <c r="R165" s="77"/>
      <c r="S165" s="77"/>
      <c r="T165" s="95"/>
      <c r="U165" s="95"/>
      <c r="V165" s="95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 spans="1:32" ht="14.4" customHeight="1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90"/>
      <c r="K166" s="91"/>
      <c r="L166" s="91"/>
      <c r="M166" s="77"/>
      <c r="N166" s="77"/>
      <c r="O166" s="77"/>
      <c r="P166" s="77"/>
      <c r="Q166" s="77"/>
      <c r="R166" s="77"/>
      <c r="S166" s="77"/>
      <c r="T166" s="95"/>
      <c r="U166" s="95"/>
      <c r="V166" s="95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 spans="1:32" ht="14.4" customHeight="1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90"/>
      <c r="K167" s="91"/>
      <c r="L167" s="91"/>
      <c r="M167" s="77"/>
      <c r="N167" s="77"/>
      <c r="O167" s="77"/>
      <c r="P167" s="77"/>
      <c r="Q167" s="77"/>
      <c r="R167" s="77"/>
      <c r="S167" s="77"/>
      <c r="T167" s="95"/>
      <c r="U167" s="95"/>
      <c r="V167" s="95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 spans="1:32" ht="14.4" customHeight="1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90"/>
      <c r="K168" s="91"/>
      <c r="L168" s="91"/>
      <c r="M168" s="77"/>
      <c r="N168" s="77"/>
      <c r="O168" s="77"/>
      <c r="P168" s="77"/>
      <c r="Q168" s="77"/>
      <c r="R168" s="77"/>
      <c r="S168" s="77"/>
      <c r="T168" s="95"/>
      <c r="U168" s="95"/>
      <c r="V168" s="95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 spans="1:32" ht="14.4" customHeigh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90"/>
      <c r="K169" s="91"/>
      <c r="L169" s="91"/>
      <c r="M169" s="77"/>
      <c r="N169" s="77"/>
      <c r="O169" s="77"/>
      <c r="P169" s="77"/>
      <c r="Q169" s="77"/>
      <c r="R169" s="77"/>
      <c r="S169" s="77"/>
      <c r="T169" s="95"/>
      <c r="U169" s="95"/>
      <c r="V169" s="95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 spans="1:32" ht="14.4" customHeight="1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90"/>
      <c r="K170" s="91"/>
      <c r="L170" s="91"/>
      <c r="M170" s="77"/>
      <c r="N170" s="77"/>
      <c r="O170" s="77"/>
      <c r="P170" s="77"/>
      <c r="Q170" s="77"/>
      <c r="R170" s="77"/>
      <c r="S170" s="77"/>
      <c r="T170" s="95"/>
      <c r="U170" s="95"/>
      <c r="V170" s="95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 spans="1:32" ht="14.4" customHeight="1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90"/>
      <c r="K171" s="91"/>
      <c r="L171" s="91"/>
      <c r="M171" s="77"/>
      <c r="N171" s="77"/>
      <c r="O171" s="77"/>
      <c r="P171" s="77"/>
      <c r="Q171" s="77"/>
      <c r="R171" s="77"/>
      <c r="S171" s="77"/>
      <c r="T171" s="95"/>
      <c r="U171" s="95"/>
      <c r="V171" s="95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 spans="1:32" ht="14.4" customHeight="1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90"/>
      <c r="K172" s="91"/>
      <c r="L172" s="91"/>
      <c r="M172" s="77"/>
      <c r="N172" s="77"/>
      <c r="O172" s="77"/>
      <c r="P172" s="77"/>
      <c r="Q172" s="77"/>
      <c r="R172" s="77"/>
      <c r="S172" s="77"/>
      <c r="T172" s="95"/>
      <c r="U172" s="95"/>
      <c r="V172" s="95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 spans="1:32" ht="14.4" customHeight="1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90"/>
      <c r="K173" s="91"/>
      <c r="L173" s="91"/>
      <c r="M173" s="77"/>
      <c r="N173" s="77"/>
      <c r="O173" s="77"/>
      <c r="P173" s="77"/>
      <c r="Q173" s="77"/>
      <c r="R173" s="77"/>
      <c r="S173" s="77"/>
      <c r="T173" s="95"/>
      <c r="U173" s="95"/>
      <c r="V173" s="95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 spans="1:32" ht="14.4" customHeight="1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90"/>
      <c r="K174" s="91"/>
      <c r="L174" s="91"/>
      <c r="M174" s="77"/>
      <c r="N174" s="77"/>
      <c r="O174" s="77"/>
      <c r="P174" s="77"/>
      <c r="Q174" s="77"/>
      <c r="R174" s="77"/>
      <c r="S174" s="77"/>
      <c r="T174" s="95"/>
      <c r="U174" s="95"/>
      <c r="V174" s="95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 spans="1:32" ht="14.4" customHeight="1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90"/>
      <c r="K175" s="91"/>
      <c r="L175" s="91"/>
      <c r="M175" s="77"/>
      <c r="N175" s="77"/>
      <c r="O175" s="77"/>
      <c r="P175" s="77"/>
      <c r="Q175" s="77"/>
      <c r="R175" s="77"/>
      <c r="S175" s="77"/>
      <c r="T175" s="95"/>
      <c r="U175" s="95"/>
      <c r="V175" s="95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 spans="1:32" ht="14.4" customHeight="1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90"/>
      <c r="K176" s="91"/>
      <c r="L176" s="91"/>
      <c r="M176" s="77"/>
      <c r="N176" s="77"/>
      <c r="O176" s="77"/>
      <c r="P176" s="77"/>
      <c r="Q176" s="77"/>
      <c r="R176" s="77"/>
      <c r="S176" s="77"/>
      <c r="T176" s="95"/>
      <c r="U176" s="95"/>
      <c r="V176" s="95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 spans="1:32" ht="14.4" customHeight="1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90"/>
      <c r="K177" s="91"/>
      <c r="L177" s="91"/>
      <c r="M177" s="77"/>
      <c r="N177" s="77"/>
      <c r="O177" s="77"/>
      <c r="P177" s="77"/>
      <c r="Q177" s="77"/>
      <c r="R177" s="77"/>
      <c r="S177" s="77"/>
      <c r="T177" s="95"/>
      <c r="U177" s="95"/>
      <c r="V177" s="95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 spans="1:32" ht="14.4" customHeight="1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90"/>
      <c r="K178" s="91"/>
      <c r="L178" s="91"/>
      <c r="M178" s="77"/>
      <c r="N178" s="77"/>
      <c r="O178" s="77"/>
      <c r="P178" s="77"/>
      <c r="Q178" s="77"/>
      <c r="R178" s="77"/>
      <c r="S178" s="77"/>
      <c r="T178" s="95"/>
      <c r="U178" s="95"/>
      <c r="V178" s="95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 spans="1:32" ht="14.4" customHeight="1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90"/>
      <c r="K179" s="91"/>
      <c r="L179" s="91"/>
      <c r="M179" s="77"/>
      <c r="N179" s="77"/>
      <c r="O179" s="77"/>
      <c r="P179" s="77"/>
      <c r="Q179" s="77"/>
      <c r="R179" s="77"/>
      <c r="S179" s="77"/>
      <c r="T179" s="95"/>
      <c r="U179" s="95"/>
      <c r="V179" s="95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 spans="1:32" ht="14.4" customHeight="1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90"/>
      <c r="K180" s="91"/>
      <c r="L180" s="91"/>
      <c r="M180" s="77"/>
      <c r="N180" s="77"/>
      <c r="O180" s="77"/>
      <c r="P180" s="77"/>
      <c r="Q180" s="77"/>
      <c r="R180" s="77"/>
      <c r="S180" s="77"/>
      <c r="T180" s="95"/>
      <c r="U180" s="95"/>
      <c r="V180" s="95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 spans="1:32" ht="14.4" customHeight="1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90"/>
      <c r="K181" s="91"/>
      <c r="L181" s="91"/>
      <c r="M181" s="77"/>
      <c r="N181" s="77"/>
      <c r="O181" s="77"/>
      <c r="P181" s="77"/>
      <c r="Q181" s="77"/>
      <c r="R181" s="77"/>
      <c r="S181" s="77"/>
      <c r="T181" s="95"/>
      <c r="U181" s="95"/>
      <c r="V181" s="95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 spans="1:32" ht="14.4" customHeight="1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90"/>
      <c r="K182" s="91"/>
      <c r="L182" s="91"/>
      <c r="M182" s="77"/>
      <c r="N182" s="77"/>
      <c r="O182" s="77"/>
      <c r="P182" s="77"/>
      <c r="Q182" s="77"/>
      <c r="R182" s="77"/>
      <c r="S182" s="77"/>
      <c r="T182" s="95"/>
      <c r="U182" s="95"/>
      <c r="V182" s="95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 spans="1:32" ht="14.4" customHeight="1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90"/>
      <c r="K183" s="91"/>
      <c r="L183" s="91"/>
      <c r="M183" s="77"/>
      <c r="N183" s="77"/>
      <c r="O183" s="77"/>
      <c r="P183" s="77"/>
      <c r="Q183" s="77"/>
      <c r="R183" s="77"/>
      <c r="S183" s="77"/>
      <c r="T183" s="95"/>
      <c r="U183" s="95"/>
      <c r="V183" s="95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 spans="1:32" ht="14.4" customHeigh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90"/>
      <c r="K184" s="91"/>
      <c r="L184" s="91"/>
      <c r="M184" s="77"/>
      <c r="N184" s="77"/>
      <c r="O184" s="77"/>
      <c r="P184" s="77"/>
      <c r="Q184" s="77"/>
      <c r="R184" s="77"/>
      <c r="S184" s="77"/>
      <c r="T184" s="95"/>
      <c r="U184" s="95"/>
      <c r="V184" s="95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 spans="1:32" ht="14.4" customHeight="1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90"/>
      <c r="K185" s="91"/>
      <c r="L185" s="91"/>
      <c r="M185" s="77"/>
      <c r="N185" s="77"/>
      <c r="O185" s="77"/>
      <c r="P185" s="77"/>
      <c r="Q185" s="77"/>
      <c r="R185" s="77"/>
      <c r="S185" s="77"/>
      <c r="T185" s="95"/>
      <c r="U185" s="95"/>
      <c r="V185" s="95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 spans="1:32" ht="14.4" customHeight="1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90"/>
      <c r="K186" s="91"/>
      <c r="L186" s="91"/>
      <c r="M186" s="77"/>
      <c r="N186" s="77"/>
      <c r="O186" s="77"/>
      <c r="P186" s="77"/>
      <c r="Q186" s="77"/>
      <c r="R186" s="77"/>
      <c r="S186" s="77"/>
      <c r="T186" s="95"/>
      <c r="U186" s="95"/>
      <c r="V186" s="95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 spans="1:32" ht="14.4" customHeight="1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90"/>
      <c r="K187" s="91"/>
      <c r="L187" s="91"/>
      <c r="M187" s="77"/>
      <c r="N187" s="77"/>
      <c r="O187" s="77"/>
      <c r="P187" s="77"/>
      <c r="Q187" s="77"/>
      <c r="R187" s="77"/>
      <c r="S187" s="77"/>
      <c r="T187" s="95"/>
      <c r="U187" s="95"/>
      <c r="V187" s="95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 spans="1:32" ht="14.4" customHeight="1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90"/>
      <c r="K188" s="91"/>
      <c r="L188" s="91"/>
      <c r="M188" s="77"/>
      <c r="N188" s="77"/>
      <c r="O188" s="77"/>
      <c r="P188" s="77"/>
      <c r="Q188" s="77"/>
      <c r="R188" s="77"/>
      <c r="S188" s="77"/>
      <c r="T188" s="95"/>
      <c r="U188" s="95"/>
      <c r="V188" s="95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 spans="1:32" ht="14.4" customHeight="1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90"/>
      <c r="K189" s="91"/>
      <c r="L189" s="91"/>
      <c r="M189" s="77"/>
      <c r="N189" s="77"/>
      <c r="O189" s="77"/>
      <c r="P189" s="77"/>
      <c r="Q189" s="77"/>
      <c r="R189" s="77"/>
      <c r="S189" s="77"/>
      <c r="T189" s="95"/>
      <c r="U189" s="95"/>
      <c r="V189" s="95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 spans="1:32" ht="14.4" customHeight="1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90"/>
      <c r="K190" s="91"/>
      <c r="L190" s="91"/>
      <c r="M190" s="77"/>
      <c r="N190" s="77"/>
      <c r="O190" s="77"/>
      <c r="P190" s="77"/>
      <c r="Q190" s="77"/>
      <c r="R190" s="77"/>
      <c r="S190" s="77"/>
      <c r="T190" s="95"/>
      <c r="U190" s="95"/>
      <c r="V190" s="95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 spans="1:32" ht="14.4" customHeight="1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90"/>
      <c r="K191" s="91"/>
      <c r="L191" s="91"/>
      <c r="M191" s="77"/>
      <c r="N191" s="77"/>
      <c r="O191" s="77"/>
      <c r="P191" s="77"/>
      <c r="Q191" s="77"/>
      <c r="R191" s="77"/>
      <c r="S191" s="77"/>
      <c r="T191" s="95"/>
      <c r="U191" s="95"/>
      <c r="V191" s="95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 spans="1:32" ht="14.4" customHeight="1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90"/>
      <c r="K192" s="91"/>
      <c r="L192" s="91"/>
      <c r="M192" s="77"/>
      <c r="N192" s="77"/>
      <c r="O192" s="77"/>
      <c r="P192" s="77"/>
      <c r="Q192" s="77"/>
      <c r="R192" s="77"/>
      <c r="S192" s="77"/>
      <c r="T192" s="95"/>
      <c r="U192" s="95"/>
      <c r="V192" s="95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 spans="1:32" ht="14.4" customHeight="1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90"/>
      <c r="K193" s="91"/>
      <c r="L193" s="91"/>
      <c r="M193" s="77"/>
      <c r="N193" s="77"/>
      <c r="O193" s="77"/>
      <c r="P193" s="77"/>
      <c r="Q193" s="77"/>
      <c r="R193" s="77"/>
      <c r="S193" s="77"/>
      <c r="T193" s="95"/>
      <c r="U193" s="95"/>
      <c r="V193" s="95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 spans="1:32" ht="14.4" customHeight="1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90"/>
      <c r="K194" s="91"/>
      <c r="L194" s="91"/>
      <c r="M194" s="77"/>
      <c r="N194" s="77"/>
      <c r="O194" s="77"/>
      <c r="P194" s="77"/>
      <c r="Q194" s="77"/>
      <c r="R194" s="77"/>
      <c r="S194" s="77"/>
      <c r="T194" s="95"/>
      <c r="U194" s="95"/>
      <c r="V194" s="95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 spans="1:32" ht="14.4" customHeight="1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90"/>
      <c r="K195" s="91"/>
      <c r="L195" s="91"/>
      <c r="M195" s="77"/>
      <c r="N195" s="77"/>
      <c r="O195" s="77"/>
      <c r="P195" s="77"/>
      <c r="Q195" s="77"/>
      <c r="R195" s="77"/>
      <c r="S195" s="77"/>
      <c r="T195" s="95"/>
      <c r="U195" s="95"/>
      <c r="V195" s="95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 spans="1:32" ht="14.4" customHeight="1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90"/>
      <c r="K196" s="91"/>
      <c r="L196" s="91"/>
      <c r="M196" s="77"/>
      <c r="N196" s="77"/>
      <c r="O196" s="77"/>
      <c r="P196" s="77"/>
      <c r="Q196" s="77"/>
      <c r="R196" s="77"/>
      <c r="S196" s="77"/>
      <c r="T196" s="95"/>
      <c r="U196" s="95"/>
      <c r="V196" s="95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 spans="1:32" ht="14.4" customHeight="1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90"/>
      <c r="K197" s="91"/>
      <c r="L197" s="91"/>
      <c r="M197" s="77"/>
      <c r="N197" s="77"/>
      <c r="O197" s="77"/>
      <c r="P197" s="77"/>
      <c r="Q197" s="77"/>
      <c r="R197" s="77"/>
      <c r="S197" s="77"/>
      <c r="T197" s="95"/>
      <c r="U197" s="95"/>
      <c r="V197" s="95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 spans="1:32" ht="14.4" customHeight="1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90"/>
      <c r="K198" s="91"/>
      <c r="L198" s="91"/>
      <c r="M198" s="77"/>
      <c r="N198" s="77"/>
      <c r="O198" s="77"/>
      <c r="P198" s="77"/>
      <c r="Q198" s="77"/>
      <c r="R198" s="77"/>
      <c r="S198" s="77"/>
      <c r="T198" s="95"/>
      <c r="U198" s="95"/>
      <c r="V198" s="95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 spans="1:32" ht="14.4" customHeigh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90"/>
      <c r="K199" s="91"/>
      <c r="L199" s="91"/>
      <c r="M199" s="77"/>
      <c r="N199" s="77"/>
      <c r="O199" s="77"/>
      <c r="P199" s="77"/>
      <c r="Q199" s="77"/>
      <c r="R199" s="77"/>
      <c r="S199" s="77"/>
      <c r="T199" s="95"/>
      <c r="U199" s="95"/>
      <c r="V199" s="95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 spans="1:32" ht="14.4" customHeight="1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90"/>
      <c r="K200" s="91"/>
      <c r="L200" s="91"/>
      <c r="M200" s="77"/>
      <c r="N200" s="77"/>
      <c r="O200" s="77"/>
      <c r="P200" s="77"/>
      <c r="Q200" s="77"/>
      <c r="R200" s="77"/>
      <c r="S200" s="77"/>
      <c r="T200" s="95"/>
      <c r="U200" s="95"/>
      <c r="V200" s="95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 spans="1:32" ht="14.4" customHeight="1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90"/>
      <c r="K201" s="91"/>
      <c r="L201" s="91"/>
      <c r="M201" s="77"/>
      <c r="N201" s="77"/>
      <c r="O201" s="77"/>
      <c r="P201" s="77"/>
      <c r="Q201" s="77"/>
      <c r="R201" s="77"/>
      <c r="S201" s="77"/>
      <c r="T201" s="95"/>
      <c r="U201" s="95"/>
      <c r="V201" s="95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 spans="1:32" ht="14.4" customHeight="1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90"/>
      <c r="K202" s="91"/>
      <c r="L202" s="91"/>
      <c r="M202" s="77"/>
      <c r="N202" s="77"/>
      <c r="O202" s="77"/>
      <c r="P202" s="77"/>
      <c r="Q202" s="77"/>
      <c r="R202" s="77"/>
      <c r="S202" s="77"/>
      <c r="T202" s="95"/>
      <c r="U202" s="95"/>
      <c r="V202" s="95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 spans="1:32" ht="14.4" customHeight="1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90"/>
      <c r="K203" s="91"/>
      <c r="L203" s="91"/>
      <c r="M203" s="77"/>
      <c r="N203" s="77"/>
      <c r="O203" s="77"/>
      <c r="P203" s="77"/>
      <c r="Q203" s="77"/>
      <c r="R203" s="77"/>
      <c r="S203" s="77"/>
      <c r="T203" s="95"/>
      <c r="U203" s="95"/>
      <c r="V203" s="95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 spans="1:32" ht="14.4" customHeight="1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90"/>
      <c r="K204" s="91"/>
      <c r="L204" s="91"/>
      <c r="M204" s="77"/>
      <c r="N204" s="77"/>
      <c r="O204" s="77"/>
      <c r="P204" s="77"/>
      <c r="Q204" s="77"/>
      <c r="R204" s="77"/>
      <c r="S204" s="77"/>
      <c r="T204" s="95"/>
      <c r="U204" s="95"/>
      <c r="V204" s="95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 spans="1:32" ht="14.4" customHeight="1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90"/>
      <c r="K205" s="91"/>
      <c r="L205" s="91"/>
      <c r="M205" s="77"/>
      <c r="N205" s="77"/>
      <c r="O205" s="77"/>
      <c r="P205" s="77"/>
      <c r="Q205" s="77"/>
      <c r="R205" s="77"/>
      <c r="S205" s="77"/>
      <c r="T205" s="95"/>
      <c r="U205" s="95"/>
      <c r="V205" s="95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 spans="1:32" ht="14.4" customHeight="1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90"/>
      <c r="K206" s="91"/>
      <c r="L206" s="91"/>
      <c r="M206" s="77"/>
      <c r="N206" s="77"/>
      <c r="O206" s="77"/>
      <c r="P206" s="77"/>
      <c r="Q206" s="77"/>
      <c r="R206" s="77"/>
      <c r="S206" s="77"/>
      <c r="T206" s="95"/>
      <c r="U206" s="95"/>
      <c r="V206" s="95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 spans="1:32" ht="14.4" customHeight="1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90"/>
      <c r="K207" s="91"/>
      <c r="L207" s="91"/>
      <c r="M207" s="77"/>
      <c r="N207" s="77"/>
      <c r="O207" s="77"/>
      <c r="P207" s="77"/>
      <c r="Q207" s="77"/>
      <c r="R207" s="77"/>
      <c r="S207" s="77"/>
      <c r="T207" s="95"/>
      <c r="U207" s="95"/>
      <c r="V207" s="95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 spans="1:32" ht="14.4" customHeight="1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90"/>
      <c r="K208" s="91"/>
      <c r="L208" s="91"/>
      <c r="M208" s="77"/>
      <c r="N208" s="77"/>
      <c r="O208" s="77"/>
      <c r="P208" s="77"/>
      <c r="Q208" s="77"/>
      <c r="R208" s="77"/>
      <c r="S208" s="77"/>
      <c r="T208" s="95"/>
      <c r="U208" s="95"/>
      <c r="V208" s="95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 spans="1:32" ht="14.4" customHeight="1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90"/>
      <c r="K209" s="91"/>
      <c r="L209" s="91"/>
      <c r="M209" s="77"/>
      <c r="N209" s="77"/>
      <c r="O209" s="77"/>
      <c r="P209" s="77"/>
      <c r="Q209" s="77"/>
      <c r="R209" s="77"/>
      <c r="S209" s="77"/>
      <c r="T209" s="95"/>
      <c r="U209" s="95"/>
      <c r="V209" s="95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 spans="1:32" ht="14.4" customHeight="1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90"/>
      <c r="K210" s="91"/>
      <c r="L210" s="91"/>
      <c r="M210" s="77"/>
      <c r="N210" s="77"/>
      <c r="O210" s="77"/>
      <c r="P210" s="77"/>
      <c r="Q210" s="77"/>
      <c r="R210" s="77"/>
      <c r="S210" s="77"/>
      <c r="T210" s="95"/>
      <c r="U210" s="95"/>
      <c r="V210" s="95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 spans="1:32" ht="14.4" customHeight="1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90"/>
      <c r="K211" s="91"/>
      <c r="L211" s="91"/>
      <c r="M211" s="77"/>
      <c r="N211" s="77"/>
      <c r="O211" s="77"/>
      <c r="P211" s="77"/>
      <c r="Q211" s="77"/>
      <c r="R211" s="77"/>
      <c r="S211" s="77"/>
      <c r="T211" s="95"/>
      <c r="U211" s="95"/>
      <c r="V211" s="95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 spans="1:32" ht="14.4" customHeight="1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90"/>
      <c r="K212" s="91"/>
      <c r="L212" s="91"/>
      <c r="M212" s="77"/>
      <c r="N212" s="77"/>
      <c r="O212" s="77"/>
      <c r="P212" s="77"/>
      <c r="Q212" s="77"/>
      <c r="R212" s="77"/>
      <c r="S212" s="77"/>
      <c r="T212" s="95"/>
      <c r="U212" s="95"/>
      <c r="V212" s="95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 spans="1:32" ht="14.4" customHeight="1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90"/>
      <c r="K213" s="91"/>
      <c r="L213" s="91"/>
      <c r="M213" s="77"/>
      <c r="N213" s="77"/>
      <c r="O213" s="77"/>
      <c r="P213" s="77"/>
      <c r="Q213" s="77"/>
      <c r="R213" s="77"/>
      <c r="S213" s="77"/>
      <c r="T213" s="95"/>
      <c r="U213" s="95"/>
      <c r="V213" s="95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 spans="1:32" ht="14.4" customHeigh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90"/>
      <c r="K214" s="91"/>
      <c r="L214" s="91"/>
      <c r="M214" s="77"/>
      <c r="N214" s="77"/>
      <c r="O214" s="77"/>
      <c r="P214" s="77"/>
      <c r="Q214" s="77"/>
      <c r="R214" s="77"/>
      <c r="S214" s="77"/>
      <c r="T214" s="95"/>
      <c r="U214" s="95"/>
      <c r="V214" s="95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 spans="1:32" ht="14.4" customHeight="1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90"/>
      <c r="K215" s="91"/>
      <c r="L215" s="91"/>
      <c r="M215" s="77"/>
      <c r="N215" s="77"/>
      <c r="O215" s="77"/>
      <c r="P215" s="77"/>
      <c r="Q215" s="77"/>
      <c r="R215" s="77"/>
      <c r="S215" s="77"/>
      <c r="T215" s="95"/>
      <c r="U215" s="95"/>
      <c r="V215" s="95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 spans="1:32" ht="14.4" customHeight="1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90"/>
      <c r="K216" s="91"/>
      <c r="L216" s="91"/>
      <c r="M216" s="77"/>
      <c r="N216" s="77"/>
      <c r="O216" s="77"/>
      <c r="P216" s="77"/>
      <c r="Q216" s="77"/>
      <c r="R216" s="77"/>
      <c r="S216" s="77"/>
      <c r="T216" s="95"/>
      <c r="U216" s="95"/>
      <c r="V216" s="95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 spans="1:32" ht="14.4" customHeight="1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90"/>
      <c r="K217" s="91"/>
      <c r="L217" s="91"/>
      <c r="M217" s="77"/>
      <c r="N217" s="77"/>
      <c r="O217" s="77"/>
      <c r="P217" s="77"/>
      <c r="Q217" s="77"/>
      <c r="R217" s="77"/>
      <c r="S217" s="77"/>
      <c r="T217" s="95"/>
      <c r="U217" s="95"/>
      <c r="V217" s="95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 spans="1:32" ht="14.4" customHeight="1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90"/>
      <c r="K218" s="91"/>
      <c r="L218" s="91"/>
      <c r="M218" s="77"/>
      <c r="N218" s="77"/>
      <c r="O218" s="77"/>
      <c r="P218" s="77"/>
      <c r="Q218" s="77"/>
      <c r="R218" s="77"/>
      <c r="S218" s="77"/>
      <c r="T218" s="95"/>
      <c r="U218" s="95"/>
      <c r="V218" s="95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 spans="1:32" ht="14.4" customHeight="1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90"/>
      <c r="K219" s="91"/>
      <c r="L219" s="91"/>
      <c r="M219" s="77"/>
      <c r="N219" s="77"/>
      <c r="O219" s="77"/>
      <c r="P219" s="77"/>
      <c r="Q219" s="77"/>
      <c r="R219" s="77"/>
      <c r="S219" s="77"/>
      <c r="T219" s="95"/>
      <c r="U219" s="95"/>
      <c r="V219" s="95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 spans="1:32" ht="14.4" customHeight="1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90"/>
      <c r="K220" s="91"/>
      <c r="L220" s="91"/>
      <c r="M220" s="77"/>
      <c r="N220" s="77"/>
      <c r="O220" s="77"/>
      <c r="P220" s="77"/>
      <c r="Q220" s="77"/>
      <c r="R220" s="77"/>
      <c r="S220" s="77"/>
      <c r="T220" s="95"/>
      <c r="U220" s="95"/>
      <c r="V220" s="95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 spans="1:32" ht="14.4" customHeight="1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90"/>
      <c r="K221" s="91"/>
      <c r="L221" s="91"/>
      <c r="M221" s="77"/>
      <c r="N221" s="77"/>
      <c r="O221" s="77"/>
      <c r="P221" s="77"/>
      <c r="Q221" s="77"/>
      <c r="R221" s="77"/>
      <c r="S221" s="77"/>
      <c r="T221" s="95"/>
      <c r="U221" s="95"/>
      <c r="V221" s="95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 spans="1:32" ht="14.4" customHeight="1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90"/>
      <c r="K222" s="91"/>
      <c r="L222" s="91"/>
      <c r="M222" s="77"/>
      <c r="N222" s="77"/>
      <c r="O222" s="77"/>
      <c r="P222" s="77"/>
      <c r="Q222" s="77"/>
      <c r="R222" s="77"/>
      <c r="S222" s="77"/>
      <c r="T222" s="95"/>
      <c r="U222" s="95"/>
      <c r="V222" s="95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 spans="1:32" ht="14.4" customHeight="1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90"/>
      <c r="K223" s="91"/>
      <c r="L223" s="91"/>
      <c r="M223" s="77"/>
      <c r="N223" s="77"/>
      <c r="O223" s="77"/>
      <c r="P223" s="77"/>
      <c r="Q223" s="77"/>
      <c r="R223" s="77"/>
      <c r="S223" s="77"/>
      <c r="T223" s="95"/>
      <c r="U223" s="95"/>
      <c r="V223" s="95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 spans="1:32" ht="14.4" customHeight="1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90"/>
      <c r="K224" s="91"/>
      <c r="L224" s="91"/>
      <c r="M224" s="77"/>
      <c r="N224" s="77"/>
      <c r="O224" s="77"/>
      <c r="P224" s="77"/>
      <c r="Q224" s="77"/>
      <c r="R224" s="77"/>
      <c r="S224" s="77"/>
      <c r="T224" s="95"/>
      <c r="U224" s="95"/>
      <c r="V224" s="95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 spans="1:32" ht="14.4" customHeight="1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90"/>
      <c r="K225" s="91"/>
      <c r="L225" s="91"/>
      <c r="M225" s="77"/>
      <c r="N225" s="77"/>
      <c r="O225" s="77"/>
      <c r="P225" s="77"/>
      <c r="Q225" s="77"/>
      <c r="R225" s="77"/>
      <c r="S225" s="77"/>
      <c r="T225" s="95"/>
      <c r="U225" s="95"/>
      <c r="V225" s="95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 spans="1:32" ht="14.4" customHeight="1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 spans="1:32" ht="14.4" customHeight="1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 spans="1:32" ht="14.4" customHeight="1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 spans="1:32" ht="14.4" customHeigh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 spans="1:32" ht="14.4" customHeight="1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 spans="1:32" ht="14.4" customHeight="1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 spans="1:32" ht="14.4" customHeight="1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 spans="1:32" ht="14.4" customHeight="1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 spans="1:32" ht="14.4" customHeight="1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 spans="1:32" ht="14.4" customHeight="1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 spans="1:32" ht="14.4" customHeight="1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 spans="1:32" ht="14.4" customHeight="1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 spans="1:32" ht="14.4" customHeight="1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 spans="1:32" ht="14.4" customHeight="1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 spans="1:32" ht="14.4" customHeight="1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 spans="1:32" ht="14.4" customHeight="1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 spans="1:32" ht="14.4" customHeight="1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 spans="1:32" ht="14.4" customHeight="1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 spans="1:32" ht="14.4" customHeigh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 spans="1:32" ht="14.4" customHeight="1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 spans="1:32" ht="14.4" customHeight="1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 spans="1:32" ht="14.4" customHeight="1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 spans="1:32" ht="14.4" customHeight="1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 spans="1:32" ht="14.4" customHeight="1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</row>
    <row r="250" spans="1:32" ht="14.4" customHeight="1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 spans="1:32" ht="14.4" customHeight="1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 spans="1:32" ht="14.4" customHeight="1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 spans="1:32" ht="14.4" customHeight="1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 spans="1:32" ht="14.4" customHeight="1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 spans="1:32" ht="14.4" customHeight="1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 spans="1:32" ht="14.4" customHeight="1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 spans="1:32" ht="14.4" customHeight="1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 spans="1:32" ht="14.4" customHeight="1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 spans="1:32" ht="14.4" customHeigh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 spans="1:32" ht="14.4" customHeight="1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 spans="1:32" ht="14.4" customHeight="1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 spans="1:32" ht="14.4" customHeight="1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 spans="1:32" ht="14.4" customHeight="1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 spans="1:32" ht="14.4" customHeight="1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 spans="1:32" ht="14.4" customHeight="1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 spans="1:32" ht="14.4" customHeight="1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 spans="1:32" ht="14.4" customHeight="1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 spans="1:32" ht="14.4" customHeight="1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 spans="1:32" ht="14.4" customHeight="1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 spans="1:32" ht="14.4" customHeight="1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 spans="1:32" ht="14.4" customHeight="1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 spans="1:32" ht="14.4" customHeight="1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 spans="1:32" ht="14.4" customHeight="1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 spans="1:32" ht="14.4" customHeigh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 spans="1:32" ht="14.4" customHeight="1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 spans="1:32" ht="14.4" customHeight="1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 spans="1:32" ht="14.4" customHeight="1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 spans="1:32" ht="14.4" customHeight="1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 spans="1:32" ht="14.4" customHeight="1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 spans="1:32" ht="14.4" customHeight="1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 spans="1:32" ht="14.4" customHeight="1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 spans="1:32" ht="14.4" customHeight="1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 spans="1:32" ht="14.4" customHeight="1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 spans="1:32" ht="14.4" customHeight="1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 spans="1:32" ht="14.4" customHeight="1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 spans="1:32" ht="14.4" customHeight="1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 spans="1:32" ht="14.4" customHeight="1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 spans="1:32" ht="14.4" customHeight="1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 spans="1:32" ht="14.4" customHeigh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 spans="1:32" ht="14.4" customHeight="1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 spans="1:32" ht="14.4" customHeight="1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 spans="1:32" ht="14.4" customHeight="1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 spans="1:32" ht="14.4" customHeight="1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 spans="1:32" ht="14.4" customHeight="1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 spans="1:32" ht="14.4" customHeight="1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 spans="1:32" ht="14.4" customHeight="1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 spans="1:32" ht="14.4" customHeight="1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 spans="1:32" ht="14.4" customHeight="1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 spans="1:32" ht="14.4" customHeight="1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 spans="1:32" ht="14.4" customHeight="1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 spans="1:32" ht="14.4" customHeight="1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 spans="1:32" ht="14.4" customHeight="1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 spans="1:32" ht="14.4" customHeight="1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 spans="1:32" ht="14.4" customHeigh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 spans="1:32" ht="14.4" customHeight="1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 spans="1:32" ht="14.4" customHeight="1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 spans="1:32" ht="14.4" customHeight="1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 spans="1:32" ht="14.4" customHeight="1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 spans="1:32" ht="14.4" customHeight="1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 spans="1:32" ht="14.4" customHeight="1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 spans="1:32" ht="14.4" customHeight="1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 spans="1:32" ht="14.4" customHeight="1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 spans="1:32" ht="14.4" customHeight="1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 spans="1:32" ht="14.4" customHeight="1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 spans="1:32" ht="14.4" customHeight="1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 spans="1:32" ht="14.4" customHeight="1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 spans="1:32" ht="14.4" customHeight="1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 spans="1:32" ht="14.4" customHeight="1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 spans="1:32" ht="14.4" customHeigh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 spans="1:32" ht="14.4" customHeight="1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 spans="1:32" ht="14.4" customHeight="1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 spans="1:32" ht="14.4" customHeight="1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 spans="1:32" ht="14.4" customHeight="1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 spans="1:32" ht="14.4" customHeight="1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 spans="1:32" ht="14.4" customHeight="1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 spans="1:32" ht="14.4" customHeight="1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 spans="1:32" ht="14.4" customHeight="1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 spans="1:32" ht="14.4" customHeight="1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 spans="1:32" ht="14.4" customHeight="1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 spans="1:32" ht="14.4" customHeight="1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 spans="1:32" ht="14.4" customHeight="1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 spans="1:32" ht="14.4" customHeight="1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 spans="1:32" ht="14.4" customHeight="1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 spans="1:32" ht="14.4" customHeigh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 spans="1:32" ht="14.4" customHeight="1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 spans="1:32" ht="14.4" customHeight="1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 spans="1:32" ht="14.4" customHeight="1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 spans="1:32" ht="14.4" customHeight="1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 spans="1:32" ht="14.4" customHeight="1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 spans="1:32" ht="14.4" customHeight="1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 spans="1:32" ht="14.4" customHeight="1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 spans="1:32" ht="14.4" customHeight="1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 spans="1:32" ht="14.4" customHeight="1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 spans="1:32" ht="14.4" customHeight="1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 spans="1:32" ht="14.4" customHeight="1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 spans="1:32" ht="14.4" customHeight="1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 spans="1:32" ht="14.4" customHeight="1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 spans="1:32" ht="14.4" customHeight="1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 spans="1:32" ht="14.4" customHeigh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 spans="1:32" ht="14.4" customHeight="1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 spans="1:32" ht="14.4" customHeight="1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 spans="1:32" ht="14.4" customHeight="1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 spans="1:32" ht="14.4" customHeight="1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 spans="1:32" ht="14.4" customHeight="1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 spans="1:32" ht="14.4" customHeight="1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 spans="1:32" ht="14.4" customHeight="1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 spans="1:32" ht="14.4" customHeight="1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 spans="1:32" ht="14.4" customHeight="1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 spans="1:32" ht="14.4" customHeight="1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 spans="1:32" ht="14.4" customHeight="1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 spans="1:32" ht="14.4" customHeight="1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 spans="1:32" ht="14.4" customHeight="1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 spans="1:32" ht="14.4" customHeight="1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 spans="1:32" ht="14.4" customHeight="1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 spans="1:32" ht="14.4" customHeight="1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 spans="1:32" ht="14.4" customHeight="1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 spans="1:32" ht="14.4" customHeight="1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 spans="1:32" ht="14.4" customHeight="1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 spans="1:32" ht="14.4" customHeight="1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 spans="1:32" ht="14.4" customHeight="1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 spans="1:32" ht="14.4" customHeight="1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 spans="1:32" ht="14.4" customHeight="1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 spans="1:32" ht="14.4" customHeight="1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 spans="1:32" ht="14.4" customHeight="1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 spans="1:32" ht="14.4" customHeight="1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 spans="1:32" ht="14.4" customHeight="1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 spans="1:32" ht="14.4" customHeight="1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 spans="1:32" ht="14.4" customHeight="1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 spans="1:32" ht="14.4" customHeight="1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 spans="1:32" ht="14.4" customHeight="1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 spans="1:32" ht="14.4" customHeight="1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 spans="1:32" ht="14.4" customHeight="1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 spans="1:32" ht="14.4" customHeight="1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 spans="1:32" ht="14.4" customHeight="1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 spans="1:32" ht="14.4" customHeight="1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 spans="1:32" ht="14.4" customHeight="1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 spans="1:32" ht="14.4" customHeight="1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 spans="1:32" ht="14.4" customHeight="1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 spans="1:32" ht="14.4" customHeight="1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 spans="1:32" ht="14.4" customHeight="1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 spans="1:32" ht="14.4" customHeight="1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 spans="1:32" ht="14.4" customHeight="1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 spans="1:32" ht="14.4" customHeight="1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 spans="1:32" ht="14.4" customHeight="1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 spans="1:32" ht="14.4" customHeight="1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 spans="1:32" ht="14.4" customHeight="1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 spans="1:32" ht="14.4" customHeight="1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 spans="1:32" ht="14.4" customHeight="1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 spans="1:32" ht="14.4" customHeight="1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 spans="1:32" ht="14.4" customHeight="1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 spans="1:32" ht="14.4" customHeight="1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 spans="1:32" ht="14.4" customHeight="1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 spans="1:32" ht="14.4" customHeight="1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 spans="1:32" ht="14.4" customHeight="1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 spans="1:32" ht="14.4" customHeight="1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 spans="1:32" ht="14.4" customHeight="1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 spans="1:32" ht="14.4" customHeight="1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 spans="1:32" ht="14.4" customHeight="1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 spans="1:32" ht="14.4" customHeight="1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 spans="1:32" ht="14.4" customHeight="1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 spans="1:32" ht="14.4" customHeight="1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 spans="1:32" ht="14.4" customHeight="1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 spans="1:32" ht="14.4" customHeight="1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 spans="1:32" ht="14.4" customHeight="1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 spans="1:32" ht="14.4" customHeight="1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 spans="1:32" ht="14.4" customHeight="1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 spans="1:32" ht="14.4" customHeight="1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 spans="1:32" ht="14.4" customHeight="1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 spans="1:32" ht="14.4" customHeight="1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 spans="1:32" ht="14.4" customHeight="1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 spans="1:32" ht="14.4" customHeight="1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 spans="1:32" ht="14.4" customHeight="1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 spans="1:32" ht="14.4" customHeight="1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 spans="1:32" ht="14.4" customHeight="1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 spans="1:32" ht="14.4" customHeight="1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 spans="1:32" ht="14.4" customHeight="1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 spans="1:32" ht="14.4" customHeight="1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 spans="1:32" ht="14.4" customHeight="1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 spans="1:32" ht="14.4" customHeight="1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 spans="1:32" ht="14.4" customHeight="1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 spans="1:32" ht="14.4" customHeight="1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 spans="1:32" ht="14.4" customHeight="1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 spans="1:32" ht="14.4" customHeight="1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 spans="1:32" ht="14.4" customHeight="1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 spans="1:32" ht="14.4" customHeight="1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 spans="1:32" ht="14.4" customHeight="1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 spans="1:32" ht="14.4" customHeight="1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 spans="1:32" ht="14.4" customHeight="1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 spans="1:32" ht="14.4" customHeight="1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 spans="1:32" ht="14.4" customHeight="1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 spans="1:32" ht="14.4" customHeight="1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 spans="1:32" ht="14.4" customHeight="1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 spans="1:32" ht="14.4" customHeight="1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 spans="1:32" ht="14.4" customHeight="1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 spans="1:32" ht="14.4" customHeight="1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 spans="1:32" ht="14.4" customHeight="1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 spans="1:32" ht="14.4" customHeight="1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 spans="1:32" ht="14.4" customHeight="1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 spans="1:32" ht="14.4" customHeight="1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 spans="1:32" ht="14.4" customHeight="1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 spans="1:32" ht="14.4" customHeight="1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 spans="1:32" ht="14.4" customHeight="1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 spans="1:32" ht="14.4" customHeight="1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 spans="1:32" ht="14.4" customHeight="1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 spans="1:32" ht="14.4" customHeight="1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 spans="1:32" ht="14.4" customHeight="1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 spans="1:32" ht="14.4" customHeight="1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 spans="1:32" ht="14.4" customHeight="1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 spans="1:32" ht="14.4" customHeight="1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 spans="1:32" ht="14.4" customHeight="1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 spans="1:32" ht="14.4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 spans="1:32" ht="14.4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 spans="1:32" ht="14.4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 spans="1:32" ht="14.4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 spans="1:32" ht="14.4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 spans="1:32" ht="14.4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 spans="1:32" ht="14.4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 spans="1:32" ht="14.4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 spans="1:32" ht="14.4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 spans="1:32" ht="14.4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 spans="1:32" ht="14.4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 spans="1:32" ht="14.4" customHeight="1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 spans="1:32" ht="14.4" customHeight="1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 spans="1:32" ht="14.4" customHeight="1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 spans="1:32" ht="14.4" customHeight="1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 spans="1:32" ht="14.4" customHeight="1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 spans="1:32" ht="14.4" customHeight="1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 spans="1:32" ht="14.4" customHeight="1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 spans="1:32" ht="14.4" customHeight="1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 spans="1:32" ht="14.4" customHeight="1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 spans="1:32" ht="14.4" customHeight="1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 spans="1:32" ht="14.4" customHeight="1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 spans="1:32" ht="14.4" customHeight="1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 spans="1:32" ht="14.4" customHeight="1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 spans="1:32" ht="14.4" customHeight="1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 spans="1:32" ht="14.4" customHeight="1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 spans="1:32" ht="14.4" customHeight="1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 spans="1:32" ht="14.4" customHeight="1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 spans="1:32" ht="14.4" customHeight="1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 spans="1:32" ht="14.4" customHeight="1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 spans="1:32" ht="14.4" customHeight="1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 spans="1:32" ht="14.4" customHeight="1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 spans="1:32" ht="14.4" customHeight="1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 spans="1:32" ht="14.4" customHeight="1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 spans="1:32" ht="14.4" customHeight="1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 spans="1:32" ht="14.4" customHeight="1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 spans="1:32" ht="14.4" customHeight="1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 spans="1:32" ht="14.4" customHeight="1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 spans="1:32" ht="14.4" customHeight="1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 spans="1:32" ht="14.4" customHeight="1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 spans="1:32" ht="14.4" customHeight="1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 spans="1:32" ht="14.4" customHeight="1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 spans="1:32" ht="14.4" customHeight="1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 spans="1:32" ht="14.4" customHeight="1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 spans="1:32" ht="14.4" customHeight="1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 spans="1:32" ht="14.4" customHeight="1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 spans="1:32" ht="14.4" customHeight="1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 spans="1:32" ht="14.4" customHeight="1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 spans="1:32" ht="14.4" customHeight="1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 spans="1:32" ht="14.4" customHeight="1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 spans="1:32" ht="14.4" customHeight="1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 spans="1:32" ht="14.4" customHeight="1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 spans="1:32" ht="14.4" customHeight="1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 spans="1:32" ht="14.4" customHeight="1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 spans="1:32" ht="14.4" customHeight="1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 spans="1:32" ht="14.4" customHeight="1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 spans="1:32" ht="14.4" customHeight="1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 spans="1:32" ht="14.4" customHeight="1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 spans="1:32" ht="14.4" customHeight="1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 spans="1:32" ht="14.4" customHeight="1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 spans="1:32" ht="14.4" customHeight="1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 spans="1:32" ht="14.4" customHeight="1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 spans="1:32" ht="14.4" customHeight="1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 spans="1:32" ht="14.4" customHeight="1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 spans="1:32" ht="14.4" customHeight="1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 spans="1:32" ht="14.4" customHeight="1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 spans="1:32" ht="14.4" customHeight="1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 spans="1:32" ht="14.4" customHeight="1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 spans="1:32" ht="14.4" customHeight="1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 spans="1:32" ht="14.4" customHeight="1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 spans="1:32" ht="14.4" customHeight="1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 spans="1:32" ht="14.4" customHeight="1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 spans="1:32" ht="14.4" customHeight="1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 spans="1:32" ht="14.4" customHeight="1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 spans="1:32" ht="14.4" customHeight="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 spans="1:32" ht="14.4" customHeight="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 spans="1:32" ht="14.4" customHeight="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 spans="1:32" ht="14.4" customHeight="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 spans="1:32" ht="14.4" customHeight="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 spans="1:32" ht="14.4" customHeight="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 spans="1:32" ht="14.4" customHeight="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 spans="1:32" ht="14.4" customHeight="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 spans="1:32" ht="14.4" customHeight="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 spans="1:32" ht="14.4" customHeight="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 spans="1:32" ht="14.4" customHeight="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 spans="1:32" ht="14.4" customHeight="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 spans="1:32" ht="14.4" customHeight="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 spans="1:32" ht="14.4" customHeight="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 spans="1:32" ht="14.4" customHeight="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 spans="1:32" ht="14.4" customHeight="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 spans="1:32" ht="14.4" customHeight="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 spans="1:32" ht="14.4" customHeight="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 spans="1:32" ht="14.4" customHeight="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 spans="1:32" ht="14.4" customHeight="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 spans="1:32" ht="14.4" customHeight="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 spans="1:32" ht="14.4" customHeight="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 spans="1:32" ht="14.4" customHeight="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 spans="1:32" ht="14.4" customHeight="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 spans="1:32" ht="14.4" customHeight="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 spans="1:32" ht="14.4" customHeight="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 spans="1:32" ht="14.4" customHeight="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 spans="1:32" ht="14.4" customHeight="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 spans="1:32" ht="14.4" customHeight="1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 spans="1:32" ht="14.4" customHeight="1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 spans="1:32" ht="14.4" customHeight="1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 spans="1:32" ht="14.4" customHeight="1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 spans="1:32" ht="14.4" customHeight="1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 spans="1:32" ht="14.4" customHeight="1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 spans="1:32" ht="14.4" customHeight="1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 spans="1:32" ht="14.4" customHeight="1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 spans="1:32" ht="14.4" customHeight="1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 spans="1:32" ht="14.4" customHeight="1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 spans="1:32" ht="14.4" customHeight="1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 spans="1:32" ht="14.4" customHeight="1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 spans="1:32" ht="14.4" customHeight="1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 spans="1:32" ht="14.4" customHeight="1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 spans="1:32" ht="14.4" customHeight="1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 spans="1:32" ht="14.4" customHeight="1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 spans="1:32" ht="14.4" customHeight="1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 spans="1:32" ht="14.4" customHeight="1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 spans="1:32" ht="14.4" customHeight="1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 spans="1:32" ht="14.4" customHeight="1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 spans="1:32" ht="14.4" customHeight="1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 spans="1:32" ht="14.4" customHeight="1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 spans="1:32" ht="14.4" customHeight="1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 spans="1:32" ht="14.4" customHeight="1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 spans="1:32" ht="14.4" customHeight="1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 spans="1:32" ht="14.4" customHeight="1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 spans="1:32" ht="14.4" customHeight="1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 spans="1:32" ht="14.4" customHeight="1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 spans="1:32" ht="14.4" customHeight="1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 spans="1:32" ht="14.4" customHeight="1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 spans="1:32" ht="14.4" customHeight="1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 spans="1:32" ht="14.4" customHeight="1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 spans="1:32" ht="14.4" customHeight="1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 spans="1:32" ht="14.4" customHeight="1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 spans="1:32" ht="14.4" customHeight="1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 spans="1:32" ht="14.4" customHeight="1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 spans="1:32" ht="14.4" customHeight="1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 spans="1:32" ht="14.4" customHeight="1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 spans="1:32" ht="14.4" customHeight="1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 spans="1:32" ht="14.4" customHeight="1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 spans="1:32" ht="14.4" customHeight="1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 spans="1:32" ht="14.4" customHeight="1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 spans="1:32" ht="14.4" customHeight="1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 spans="1:32" ht="14.4" customHeight="1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 spans="1:32" ht="14.4" customHeight="1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 spans="1:32" ht="14.4" customHeight="1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 spans="1:32" ht="14.4" customHeight="1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 spans="1:32" ht="14.4" customHeight="1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 spans="1:32" ht="14.4" customHeight="1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 spans="1:32" ht="14.4" customHeight="1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 spans="1:32" ht="14.4" customHeight="1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 spans="1:32" ht="14.4" customHeight="1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 spans="1:32" ht="14.4" customHeight="1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 spans="1:32" ht="14.4" customHeight="1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 spans="1:32" ht="14.4" customHeight="1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 spans="1:32" ht="14.4" customHeight="1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 spans="1:32" ht="14.4" customHeight="1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 spans="1:32" ht="14.4" customHeight="1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 spans="1:32" ht="14.4" customHeight="1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 spans="1:32" ht="14.4" customHeight="1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 spans="1:32" ht="14.4" customHeight="1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 spans="1:32" ht="14.4" customHeight="1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 spans="1:32" ht="14.4" customHeight="1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 spans="1:32" ht="14.4" customHeight="1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 spans="1:32" ht="14.4" customHeight="1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 spans="1:32" ht="14.4" customHeight="1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 spans="1:32" ht="14.4" customHeight="1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 spans="1:32" ht="14.4" customHeight="1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 spans="1:32" ht="14.4" customHeight="1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 spans="1:32" ht="14.4" customHeight="1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 spans="1:32" ht="14.4" customHeight="1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 spans="1:32" ht="14.4" customHeight="1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 spans="1:32" ht="14.4" customHeight="1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 spans="1:32" ht="14.4" customHeight="1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 spans="1:32" ht="14.4" customHeight="1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 spans="1:32" ht="14.4" customHeight="1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 spans="1:32" ht="14.4" customHeight="1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 spans="1:32" ht="14.4" customHeight="1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 spans="1:32" ht="14.4" customHeight="1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 spans="1:32" ht="14.4" customHeight="1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 spans="1:32" ht="14.4" customHeight="1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 spans="1:32" ht="14.4" customHeight="1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 spans="1:32" ht="14.4" customHeight="1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 spans="1:32" ht="14.4" customHeight="1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 spans="1:32" ht="14.4" customHeight="1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 spans="1:32" ht="14.4" customHeight="1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 spans="1:32" ht="14.4" customHeight="1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 spans="1:32" ht="14.4" customHeight="1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 spans="1:32" ht="14.4" customHeight="1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 spans="1:32" ht="14.4" customHeight="1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 spans="1:32" ht="14.4" customHeight="1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 spans="1:32" ht="14.4" customHeight="1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 spans="1:32" ht="14.4" customHeight="1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 spans="1:32" ht="14.4" customHeight="1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 spans="1:32" ht="14.4" customHeight="1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 spans="1:32" ht="14.4" customHeight="1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 spans="1:32" ht="14.4" customHeight="1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 spans="1:32" ht="14.4" customHeight="1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 spans="1:32" ht="14.4" customHeight="1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 spans="1:32" ht="14.4" customHeight="1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 spans="1:32" ht="14.4" customHeight="1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 spans="1:32" ht="14.4" customHeight="1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 spans="1:32" ht="14.4" customHeight="1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 spans="1:32" ht="14.4" customHeight="1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 spans="1:32" ht="14.4" customHeight="1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 spans="1:32" ht="14.4" customHeight="1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 spans="1:32" ht="14.4" customHeight="1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 spans="1:32" ht="14.4" customHeight="1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 spans="1:32" ht="14.4" customHeight="1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 spans="1:32" ht="14.4" customHeight="1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 spans="1:32" ht="14.4" customHeight="1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 spans="1:32" ht="14.4" customHeight="1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 spans="1:32" ht="14.4" customHeight="1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 spans="1:32" ht="14.4" customHeight="1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 spans="1:32" ht="14.4" customHeight="1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 spans="1:32" ht="14.4" customHeight="1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 spans="1:32" ht="14.4" customHeight="1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 spans="1:32" ht="14.4" customHeight="1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 spans="1:32" ht="14.4" customHeight="1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 spans="1:32" ht="14.4" customHeight="1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 spans="1:32" ht="14.4" customHeight="1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 spans="1:32" ht="14.4" customHeight="1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 spans="1:32" ht="14.4" customHeight="1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 spans="1:32" ht="14.4" customHeight="1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 spans="1:32" ht="14.4" customHeight="1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 spans="1:32" ht="14.4" customHeight="1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 spans="1:32" ht="14.4" customHeight="1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 spans="1:32" ht="14.4" customHeight="1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 spans="1:32" ht="14.4" customHeight="1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 spans="1:32" ht="14.4" customHeight="1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 spans="1:32" ht="14.4" customHeight="1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 spans="1:32" ht="14.4" customHeight="1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 spans="1:32" ht="14.4" customHeight="1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 spans="1:32" ht="14.4" customHeight="1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 spans="1:32" ht="14.4" customHeight="1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 spans="1:32" ht="14.4" customHeight="1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 spans="1:32" ht="14.4" customHeight="1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 spans="1:32" ht="14.4" customHeight="1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 spans="1:32" ht="14.4" customHeight="1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 spans="1:32" ht="14.4" customHeight="1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 spans="1:32" ht="14.4" customHeight="1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 spans="1:32" ht="14.4" customHeight="1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 spans="1:32" ht="14.4" customHeight="1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 spans="1:32" ht="14.4" customHeight="1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 spans="1:32" ht="14.4" customHeight="1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 spans="1:32" ht="14.4" customHeight="1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 spans="1:32" ht="14.4" customHeight="1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 spans="1:32" ht="14.4" customHeight="1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 spans="1:32" ht="14.4" customHeight="1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 spans="1:32" ht="14.4" customHeight="1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 spans="1:32" ht="14.4" customHeight="1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 spans="1:32" ht="14.4" customHeight="1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 spans="1:32" ht="14.4" customHeight="1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 spans="1:32" ht="14.4" customHeight="1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 spans="1:32" ht="14.4" customHeight="1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 spans="1:32" ht="14.4" customHeight="1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 spans="1:32" ht="14.4" customHeight="1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 spans="1:32" ht="14.4" customHeight="1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 spans="1:32" ht="14.4" customHeight="1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 spans="1:32" ht="14.4" customHeight="1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 spans="1:32" ht="14.4" customHeight="1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 spans="1:32" ht="14.4" customHeight="1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 spans="1:32" ht="14.4" customHeight="1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 spans="1:32" ht="14.4" customHeight="1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 spans="1:32" ht="14.4" customHeight="1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 spans="1:32" ht="14.4" customHeight="1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 spans="1:32" ht="14.4" customHeight="1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 spans="1:32" ht="14.4" customHeight="1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 spans="1:32" ht="14.4" customHeight="1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 spans="1:32" ht="14.4" customHeight="1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 spans="1:32" ht="14.4" customHeight="1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 spans="1:32" ht="14.4" customHeight="1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 spans="1:32" ht="14.4" customHeight="1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 spans="1:32" ht="14.4" customHeight="1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 spans="1:32" ht="14.4" customHeight="1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 spans="1:32" ht="14.4" customHeight="1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 spans="1:32" ht="14.4" customHeight="1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 spans="1:32" ht="14.4" customHeight="1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 spans="1:32" ht="14.4" customHeight="1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 spans="1:32" ht="14.4" customHeight="1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 spans="1:32" ht="14.4" customHeight="1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 spans="1:32" ht="14.4" customHeight="1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 spans="1:32" ht="14.4" customHeight="1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 spans="1:32" ht="14.4" customHeight="1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 spans="1:32" ht="14.4" customHeight="1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 spans="1:32" ht="14.4" customHeight="1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 spans="1:32" ht="14.4" customHeight="1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 spans="1:32" ht="14.4" customHeight="1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 spans="1:32" ht="14.4" customHeight="1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 spans="1:32" ht="14.4" customHeight="1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 spans="1:32" ht="14.4" customHeight="1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 spans="1:32" ht="14.4" customHeight="1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 spans="1:32" ht="14.4" customHeight="1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 spans="1:32" ht="14.4" customHeight="1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 spans="1:32" ht="14.4" customHeight="1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 spans="1:32" ht="14.4" customHeight="1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 spans="1:32" ht="14.4" customHeight="1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 spans="1:32" ht="14.4" customHeight="1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 spans="1:32" ht="14.4" customHeight="1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 spans="1:32" ht="14.4" customHeight="1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 spans="1:32" ht="14.4" customHeight="1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 spans="1:32" ht="14.4" customHeight="1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 spans="1:32" ht="14.4" customHeight="1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 spans="1:32" ht="14.4" customHeight="1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 spans="1:32" ht="14.4" customHeight="1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 spans="1:32" ht="14.4" customHeight="1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 spans="1:32" ht="14.4" customHeight="1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 spans="1:32" ht="14.4" customHeight="1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 spans="1:32" ht="14.4" customHeight="1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 spans="1:32" ht="14.4" customHeight="1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 spans="1:32" ht="14.4" customHeight="1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 spans="1:32" ht="14.4" customHeight="1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 spans="1:32" ht="14.4" customHeight="1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 spans="1:32" ht="14.4" customHeight="1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 spans="1:32" ht="14.4" customHeight="1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 spans="1:32" ht="14.4" customHeight="1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 spans="1:32" ht="14.4" customHeight="1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 spans="1:32" ht="14.4" customHeight="1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 spans="1:32" ht="14.4" customHeight="1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 spans="1:32" ht="14.4" customHeight="1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 spans="1:32" ht="14.4" customHeight="1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 spans="1:32" ht="14.4" customHeight="1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 spans="1:32" ht="14.4" customHeight="1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 spans="1:32" ht="14.4" customHeight="1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 spans="1:32" ht="14.4" customHeight="1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 spans="1:32" ht="14.4" customHeight="1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 spans="1:32" ht="14.4" customHeight="1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 spans="1:32" ht="14.4" customHeight="1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 spans="1:32" ht="14.4" customHeight="1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 spans="1:32" ht="14.4" customHeight="1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 spans="1:32" ht="14.4" customHeight="1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 spans="1:32" ht="14.4" customHeight="1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 spans="1:32" ht="14.4" customHeight="1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 spans="1:32" ht="14.4" customHeight="1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 spans="1:32" ht="14.4" customHeight="1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 spans="1:32" ht="14.4" customHeight="1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 spans="1:32" ht="14.4" customHeight="1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 spans="1:32" ht="14.4" customHeight="1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 spans="1:32" ht="14.4" customHeight="1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 spans="1:32" ht="14.4" customHeight="1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 spans="1:32" ht="14.4" customHeight="1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 spans="1:32" ht="14.4" customHeight="1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 spans="1:32" ht="14.4" customHeight="1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 spans="1:32" ht="14.4" customHeight="1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 spans="1:32" ht="14.4" customHeight="1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 spans="1:32" ht="14.4" customHeight="1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 spans="1:32" ht="14.4" customHeight="1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 spans="1:32" ht="14.4" customHeight="1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 spans="1:32" ht="14.4" customHeight="1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 spans="1:32" ht="14.4" customHeight="1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 spans="1:32" ht="14.4" customHeight="1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 spans="1:32" ht="14.4" customHeight="1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 spans="1:32" ht="14.4" customHeight="1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 spans="1:32" ht="14.4" customHeight="1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 spans="1:32" ht="14.4" customHeight="1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 spans="1:32" ht="14.4" customHeight="1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 spans="1:32" ht="14.4" customHeight="1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  <row r="820" spans="1:32" ht="14.4" customHeight="1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</row>
    <row r="821" spans="1:32" ht="14.4" customHeight="1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</row>
    <row r="822" spans="1:32" ht="14.4" customHeight="1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</row>
    <row r="823" spans="1:32" ht="14.4" customHeight="1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</row>
    <row r="824" spans="1:32" ht="14.4" customHeight="1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</row>
    <row r="825" spans="1:32" ht="14.4" customHeight="1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</row>
    <row r="826" spans="1:32" ht="14.4" customHeight="1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</row>
    <row r="827" spans="1:32" ht="14.4" customHeight="1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</row>
    <row r="828" spans="1:32" ht="14.4" customHeight="1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</row>
    <row r="829" spans="1:32" ht="14.4" customHeight="1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</row>
    <row r="830" spans="1:32" ht="14.4" customHeight="1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</row>
    <row r="831" spans="1:32" ht="14.4" customHeight="1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</row>
    <row r="832" spans="1:32" ht="14.4" customHeight="1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</row>
    <row r="833" spans="1:32" ht="14.4" customHeight="1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</row>
    <row r="834" spans="1:32" ht="14.4" customHeight="1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</row>
    <row r="835" spans="1:32" ht="14.4" customHeight="1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</row>
    <row r="836" spans="1:32" ht="14.4" customHeight="1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</row>
    <row r="837" spans="1:32" ht="14.4" customHeight="1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</row>
    <row r="838" spans="1:32" ht="14.4" customHeight="1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</row>
    <row r="839" spans="1:32" ht="14.4" customHeight="1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</row>
    <row r="840" spans="1:32" ht="14.4" customHeight="1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</row>
    <row r="841" spans="1:32" ht="14.4" customHeight="1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</row>
    <row r="842" spans="1:32" ht="14.4" customHeight="1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</row>
    <row r="843" spans="1:32" ht="14.4" customHeight="1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</row>
    <row r="844" spans="1:32" ht="14.4" customHeight="1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</row>
    <row r="845" spans="1:32" ht="14.4" customHeight="1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</row>
  </sheetData>
  <mergeCells count="196">
    <mergeCell ref="S40:W40"/>
    <mergeCell ref="M41:N41"/>
    <mergeCell ref="S53:W53"/>
    <mergeCell ref="I54:L54"/>
    <mergeCell ref="M54:N54"/>
    <mergeCell ref="S49:W49"/>
    <mergeCell ref="S54:W54"/>
    <mergeCell ref="S44:W44"/>
    <mergeCell ref="S41:W41"/>
    <mergeCell ref="S68:W68"/>
    <mergeCell ref="I65:L65"/>
    <mergeCell ref="I68:L68"/>
    <mergeCell ref="M65:N65"/>
    <mergeCell ref="M68:N68"/>
    <mergeCell ref="S65:W65"/>
    <mergeCell ref="I60:L60"/>
    <mergeCell ref="M60:N60"/>
    <mergeCell ref="S60:W60"/>
    <mergeCell ref="I61:L61"/>
    <mergeCell ref="M61:N61"/>
    <mergeCell ref="S61:W61"/>
    <mergeCell ref="S66:W66"/>
    <mergeCell ref="S62:W62"/>
    <mergeCell ref="C57:C61"/>
    <mergeCell ref="D57:G61"/>
    <mergeCell ref="I57:L57"/>
    <mergeCell ref="M57:N57"/>
    <mergeCell ref="S57:W57"/>
    <mergeCell ref="I58:L58"/>
    <mergeCell ref="M58:N58"/>
    <mergeCell ref="S58:W58"/>
    <mergeCell ref="I59:L59"/>
    <mergeCell ref="M59:N59"/>
    <mergeCell ref="S59:W59"/>
    <mergeCell ref="S31:W31"/>
    <mergeCell ref="C32:C36"/>
    <mergeCell ref="D32:G36"/>
    <mergeCell ref="D42:G46"/>
    <mergeCell ref="C42:C46"/>
    <mergeCell ref="I44:L44"/>
    <mergeCell ref="M44:N44"/>
    <mergeCell ref="I45:L45"/>
    <mergeCell ref="M45:N45"/>
    <mergeCell ref="S45:W45"/>
    <mergeCell ref="I38:L38"/>
    <mergeCell ref="M39:N39"/>
    <mergeCell ref="S39:W39"/>
    <mergeCell ref="S34:W34"/>
    <mergeCell ref="S35:W35"/>
    <mergeCell ref="S36:W36"/>
    <mergeCell ref="M46:N46"/>
    <mergeCell ref="S46:W46"/>
    <mergeCell ref="S32:W32"/>
    <mergeCell ref="M33:N33"/>
    <mergeCell ref="S33:W33"/>
    <mergeCell ref="M40:N40"/>
    <mergeCell ref="M37:N37"/>
    <mergeCell ref="S37:W37"/>
    <mergeCell ref="B42:B46"/>
    <mergeCell ref="B47:B51"/>
    <mergeCell ref="C27:C31"/>
    <mergeCell ref="D27:G31"/>
    <mergeCell ref="I31:L31"/>
    <mergeCell ref="I46:L46"/>
    <mergeCell ref="B27:B31"/>
    <mergeCell ref="I33:L33"/>
    <mergeCell ref="I34:L34"/>
    <mergeCell ref="I41:L41"/>
    <mergeCell ref="I28:L28"/>
    <mergeCell ref="I37:L37"/>
    <mergeCell ref="I27:L27"/>
    <mergeCell ref="I39:L39"/>
    <mergeCell ref="M38:N38"/>
    <mergeCell ref="S38:W38"/>
    <mergeCell ref="I40:L40"/>
    <mergeCell ref="M28:N28"/>
    <mergeCell ref="S28:W28"/>
    <mergeCell ref="B52:B56"/>
    <mergeCell ref="C47:C51"/>
    <mergeCell ref="D47:G51"/>
    <mergeCell ref="I47:L47"/>
    <mergeCell ref="I48:L48"/>
    <mergeCell ref="I49:L49"/>
    <mergeCell ref="I50:L50"/>
    <mergeCell ref="I51:L51"/>
    <mergeCell ref="C52:C56"/>
    <mergeCell ref="D52:G56"/>
    <mergeCell ref="I52:L52"/>
    <mergeCell ref="I53:L53"/>
    <mergeCell ref="I55:L55"/>
    <mergeCell ref="M29:N29"/>
    <mergeCell ref="I30:L30"/>
    <mergeCell ref="M30:N30"/>
    <mergeCell ref="S30:W30"/>
    <mergeCell ref="I29:L29"/>
    <mergeCell ref="B32:B36"/>
    <mergeCell ref="B57:B61"/>
    <mergeCell ref="M31:N31"/>
    <mergeCell ref="A69:C69"/>
    <mergeCell ref="J69:K69"/>
    <mergeCell ref="L69:M69"/>
    <mergeCell ref="D68:G68"/>
    <mergeCell ref="D66:G66"/>
    <mergeCell ref="I66:L66"/>
    <mergeCell ref="M66:N66"/>
    <mergeCell ref="B62:B68"/>
    <mergeCell ref="C62:C68"/>
    <mergeCell ref="D62:G62"/>
    <mergeCell ref="I62:L62"/>
    <mergeCell ref="M62:N62"/>
    <mergeCell ref="M34:N34"/>
    <mergeCell ref="I35:L35"/>
    <mergeCell ref="M35:N35"/>
    <mergeCell ref="I36:L36"/>
    <mergeCell ref="M36:N36"/>
    <mergeCell ref="I32:L32"/>
    <mergeCell ref="M32:N32"/>
    <mergeCell ref="B37:B41"/>
    <mergeCell ref="C37:C41"/>
    <mergeCell ref="D37:G41"/>
    <mergeCell ref="M55:N55"/>
    <mergeCell ref="D67:G67"/>
    <mergeCell ref="I67:L67"/>
    <mergeCell ref="M67:N67"/>
    <mergeCell ref="S67:W67"/>
    <mergeCell ref="D64:G64"/>
    <mergeCell ref="I64:L64"/>
    <mergeCell ref="M64:N64"/>
    <mergeCell ref="S64:W64"/>
    <mergeCell ref="D65:G65"/>
    <mergeCell ref="S55:W55"/>
    <mergeCell ref="I56:L56"/>
    <mergeCell ref="M56:N56"/>
    <mergeCell ref="S25:W25"/>
    <mergeCell ref="D63:G63"/>
    <mergeCell ref="I63:L63"/>
    <mergeCell ref="M63:N63"/>
    <mergeCell ref="S63:W63"/>
    <mergeCell ref="I42:L42"/>
    <mergeCell ref="M42:N42"/>
    <mergeCell ref="S42:W42"/>
    <mergeCell ref="I43:L43"/>
    <mergeCell ref="M43:N43"/>
    <mergeCell ref="S43:W43"/>
    <mergeCell ref="M47:N47"/>
    <mergeCell ref="S47:W47"/>
    <mergeCell ref="M48:N48"/>
    <mergeCell ref="S48:W48"/>
    <mergeCell ref="M49:N49"/>
    <mergeCell ref="M50:N50"/>
    <mergeCell ref="S50:W50"/>
    <mergeCell ref="M51:N51"/>
    <mergeCell ref="S51:W51"/>
    <mergeCell ref="S56:W56"/>
    <mergeCell ref="M52:N52"/>
    <mergeCell ref="S52:W52"/>
    <mergeCell ref="M53:N53"/>
    <mergeCell ref="I26:L26"/>
    <mergeCell ref="M26:N26"/>
    <mergeCell ref="S26:W26"/>
    <mergeCell ref="C26:G26"/>
    <mergeCell ref="S27:W27"/>
    <mergeCell ref="S29:W29"/>
    <mergeCell ref="M27:N27"/>
    <mergeCell ref="E10:F10"/>
    <mergeCell ref="H10:I10"/>
    <mergeCell ref="S10:W10"/>
    <mergeCell ref="E11:F11"/>
    <mergeCell ref="H11:I11"/>
    <mergeCell ref="E12:F12"/>
    <mergeCell ref="H12:I12"/>
    <mergeCell ref="E13:F13"/>
    <mergeCell ref="E14:F14"/>
    <mergeCell ref="B16:C16"/>
    <mergeCell ref="E16:F16"/>
    <mergeCell ref="H16:I16"/>
    <mergeCell ref="B23:W23"/>
    <mergeCell ref="B24:W24"/>
    <mergeCell ref="C25:H25"/>
    <mergeCell ref="I25:L25"/>
    <mergeCell ref="M25:N25"/>
    <mergeCell ref="S6:W6"/>
    <mergeCell ref="E7:F7"/>
    <mergeCell ref="H7:I7"/>
    <mergeCell ref="S8:W8"/>
    <mergeCell ref="B9:C9"/>
    <mergeCell ref="E9:F9"/>
    <mergeCell ref="H9:I9"/>
    <mergeCell ref="S9:W9"/>
    <mergeCell ref="A1:W1"/>
    <mergeCell ref="B3:C3"/>
    <mergeCell ref="D3:K3"/>
    <mergeCell ref="B5:C5"/>
    <mergeCell ref="E5:F5"/>
    <mergeCell ref="H5:I5"/>
    <mergeCell ref="S5:W5"/>
  </mergeCells>
  <conditionalFormatting sqref="P26 P27:S68">
    <cfRule type="cellIs" dxfId="8" priority="1" operator="equal">
      <formula>"FAILED"</formula>
    </cfRule>
    <cfRule type="cellIs" dxfId="7" priority="2" operator="equal">
      <formula>"PASSED WITH CONDITION"</formula>
    </cfRule>
    <cfRule type="cellIs" dxfId="6" priority="3" operator="equal">
      <formula>"PASSED"</formula>
    </cfRule>
  </conditionalFormatting>
  <dataValidations count="1">
    <dataValidation type="list" allowBlank="1" showErrorMessage="1" sqref="P26:P68" xr:uid="{78F3F262-B2CD-47B2-8A36-5A321120D4C9}">
      <formula1>"PASSED,PASSED WITH CONDITION,FAILED,N/A"</formula1>
    </dataValidation>
  </dataValidations>
  <pageMargins left="0.7" right="0.7" top="0.75" bottom="0.75" header="0.3" footer="0.3"/>
  <pageSetup orientation="portrait" verticalDpi="0" r:id="rId1"/>
  <ignoredErrors>
    <ignoredError sqref="H26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A28F-4573-45E6-9F33-5B33F3E7E34A}">
  <sheetPr codeName="Sheet7">
    <tabColor theme="4" tint="0.59999389629810485"/>
  </sheetPr>
  <dimension ref="A1:AF819"/>
  <sheetViews>
    <sheetView zoomScale="86" zoomScaleNormal="130" workbookViewId="0">
      <selection activeCell="G7" sqref="G7"/>
    </sheetView>
  </sheetViews>
  <sheetFormatPr defaultColWidth="14.44140625" defaultRowHeight="14.4" customHeight="1" x14ac:dyDescent="0.25"/>
  <cols>
    <col min="1" max="1" width="1.44140625" style="78" customWidth="1"/>
    <col min="2" max="2" width="4.33203125" style="78" customWidth="1"/>
    <col min="3" max="3" width="17.6640625" style="78" customWidth="1"/>
    <col min="4" max="4" width="5.33203125" style="78" customWidth="1"/>
    <col min="5" max="5" width="6.109375" style="78" customWidth="1"/>
    <col min="6" max="6" width="9.5546875" style="78" customWidth="1"/>
    <col min="7" max="7" width="5" style="78" customWidth="1"/>
    <col min="8" max="8" width="4.44140625" style="78" customWidth="1"/>
    <col min="9" max="9" width="11.88671875" style="78" customWidth="1"/>
    <col min="10" max="10" width="5.33203125" style="78" customWidth="1"/>
    <col min="11" max="11" width="11.88671875" style="78" customWidth="1"/>
    <col min="12" max="12" width="14.6640625" style="78" customWidth="1"/>
    <col min="13" max="13" width="11.88671875" style="78" customWidth="1"/>
    <col min="14" max="14" width="8.6640625" style="78" customWidth="1"/>
    <col min="15" max="15" width="40" style="78" customWidth="1"/>
    <col min="16" max="16" width="25.33203125" style="78" customWidth="1"/>
    <col min="17" max="18" width="64.44140625" style="78" customWidth="1"/>
    <col min="19" max="19" width="12.44140625" style="78" customWidth="1"/>
    <col min="20" max="20" width="6.44140625" style="78" customWidth="1"/>
    <col min="21" max="21" width="7.33203125" style="78" customWidth="1"/>
    <col min="22" max="22" width="6.44140625" style="78" customWidth="1"/>
    <col min="23" max="32" width="8.6640625" style="78" customWidth="1"/>
    <col min="33" max="16384" width="14.44140625" style="78"/>
  </cols>
  <sheetData>
    <row r="1" spans="1:32" ht="60" customHeight="1" x14ac:dyDescent="0.25">
      <c r="A1" s="217" t="s">
        <v>315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77"/>
      <c r="Y1" s="77"/>
      <c r="Z1" s="77"/>
      <c r="AA1" s="77"/>
      <c r="AB1" s="77"/>
      <c r="AC1" s="77"/>
      <c r="AD1" s="77"/>
      <c r="AE1" s="77"/>
      <c r="AF1" s="77"/>
    </row>
    <row r="2" spans="1:32" ht="14.4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3"/>
      <c r="U2" s="83"/>
      <c r="V2" s="83"/>
      <c r="W2" s="81"/>
      <c r="X2" s="77"/>
      <c r="Y2" s="77"/>
      <c r="Z2" s="77"/>
      <c r="AA2" s="77"/>
      <c r="AB2" s="77"/>
      <c r="AC2" s="77"/>
      <c r="AD2" s="77"/>
      <c r="AE2" s="77"/>
      <c r="AF2" s="77"/>
    </row>
    <row r="3" spans="1:32" ht="14.4" customHeight="1" x14ac:dyDescent="0.25">
      <c r="A3" s="77"/>
      <c r="B3" s="218" t="s">
        <v>3</v>
      </c>
      <c r="C3" s="218"/>
      <c r="D3" s="411" t="s">
        <v>418</v>
      </c>
      <c r="E3" s="276"/>
      <c r="F3" s="276"/>
      <c r="G3" s="276"/>
      <c r="H3" s="276"/>
      <c r="I3" s="276"/>
      <c r="J3" s="276"/>
      <c r="K3" s="276"/>
      <c r="L3" s="85"/>
      <c r="M3" s="85"/>
      <c r="N3" s="77"/>
      <c r="O3" s="77"/>
      <c r="P3" s="91"/>
      <c r="Q3" s="91"/>
      <c r="R3" s="91"/>
      <c r="S3" s="86" t="s">
        <v>0</v>
      </c>
      <c r="T3" s="89" t="b">
        <v>0</v>
      </c>
      <c r="U3" s="90" t="s">
        <v>1</v>
      </c>
      <c r="V3" s="89" t="b">
        <v>0</v>
      </c>
      <c r="W3" s="90" t="s">
        <v>2</v>
      </c>
      <c r="X3" s="77"/>
      <c r="Y3" s="77"/>
      <c r="Z3" s="77"/>
      <c r="AA3" s="77"/>
      <c r="AB3" s="77"/>
      <c r="AC3" s="77"/>
      <c r="AD3" s="77"/>
      <c r="AE3" s="77"/>
      <c r="AF3" s="77"/>
    </row>
    <row r="4" spans="1:32" ht="14.4" customHeight="1" x14ac:dyDescent="0.25">
      <c r="A4" s="77"/>
      <c r="B4" s="85"/>
      <c r="C4" s="85"/>
      <c r="D4" s="85"/>
      <c r="E4" s="85"/>
      <c r="F4" s="85"/>
      <c r="G4" s="85"/>
      <c r="H4" s="85"/>
      <c r="I4" s="87"/>
      <c r="J4" s="87"/>
      <c r="K4" s="77"/>
      <c r="L4" s="77"/>
      <c r="M4" s="77"/>
      <c r="N4" s="77"/>
      <c r="O4" s="77"/>
      <c r="P4" s="91"/>
      <c r="Q4" s="91"/>
      <c r="R4" s="91"/>
      <c r="S4" s="91"/>
      <c r="X4" s="77"/>
      <c r="Y4" s="77"/>
      <c r="Z4" s="77"/>
      <c r="AA4" s="77"/>
      <c r="AB4" s="77"/>
      <c r="AC4" s="77"/>
      <c r="AD4" s="77"/>
      <c r="AE4" s="77"/>
      <c r="AF4" s="77"/>
    </row>
    <row r="5" spans="1:32" ht="14.4" customHeight="1" x14ac:dyDescent="0.25">
      <c r="A5" s="77"/>
      <c r="B5" s="221" t="s">
        <v>6</v>
      </c>
      <c r="C5" s="221"/>
      <c r="D5" s="89" t="b">
        <v>1</v>
      </c>
      <c r="E5" s="278" t="s">
        <v>7</v>
      </c>
      <c r="F5" s="278"/>
      <c r="G5" s="93" t="b">
        <v>1</v>
      </c>
      <c r="H5" s="222" t="s">
        <v>8</v>
      </c>
      <c r="I5" s="222"/>
      <c r="K5" s="77"/>
      <c r="L5" s="77"/>
      <c r="M5" s="77"/>
      <c r="N5" s="77"/>
      <c r="O5" s="77"/>
      <c r="P5" s="91"/>
      <c r="Q5" s="91"/>
      <c r="R5" s="86" t="s">
        <v>4</v>
      </c>
      <c r="S5" s="279"/>
      <c r="T5" s="279"/>
      <c r="U5" s="279"/>
      <c r="V5" s="279"/>
      <c r="W5" s="279"/>
      <c r="X5" s="77"/>
      <c r="Y5" s="77"/>
      <c r="Z5" s="77"/>
      <c r="AA5" s="77"/>
      <c r="AB5" s="77"/>
      <c r="AC5" s="77"/>
      <c r="AD5" s="77"/>
      <c r="AE5" s="77"/>
      <c r="AF5" s="77"/>
    </row>
    <row r="6" spans="1:32" ht="14.4" customHeight="1" x14ac:dyDescent="0.25">
      <c r="A6" s="77"/>
      <c r="B6" s="85"/>
      <c r="C6" s="85"/>
      <c r="D6" s="77"/>
      <c r="E6" s="77"/>
      <c r="F6" s="77"/>
      <c r="G6" s="77"/>
      <c r="H6" s="92"/>
      <c r="I6" s="92"/>
      <c r="J6" s="95"/>
      <c r="K6" s="77"/>
      <c r="L6" s="77"/>
      <c r="M6" s="77"/>
      <c r="N6" s="77"/>
      <c r="O6" s="77"/>
      <c r="P6" s="91"/>
      <c r="Q6" s="91"/>
      <c r="R6" s="86" t="s">
        <v>5</v>
      </c>
      <c r="S6" s="278"/>
      <c r="T6" s="278"/>
      <c r="U6" s="278"/>
      <c r="V6" s="278"/>
      <c r="W6" s="278"/>
      <c r="X6" s="77"/>
      <c r="Y6" s="77"/>
      <c r="Z6" s="77"/>
      <c r="AA6" s="77"/>
      <c r="AB6" s="77"/>
      <c r="AC6" s="77"/>
      <c r="AD6" s="77"/>
      <c r="AE6" s="77"/>
      <c r="AF6" s="77"/>
    </row>
    <row r="7" spans="1:32" ht="14.4" customHeight="1" x14ac:dyDescent="0.25">
      <c r="A7" s="77"/>
      <c r="B7" s="85" t="s">
        <v>88</v>
      </c>
      <c r="C7" s="85"/>
      <c r="D7" s="89" t="b">
        <v>1</v>
      </c>
      <c r="E7" s="278" t="s">
        <v>89</v>
      </c>
      <c r="F7" s="278"/>
      <c r="G7" s="93" t="b">
        <v>1</v>
      </c>
      <c r="H7" s="278" t="s">
        <v>90</v>
      </c>
      <c r="I7" s="278"/>
      <c r="L7" s="77"/>
      <c r="M7" s="77"/>
      <c r="N7" s="77"/>
      <c r="O7" s="77"/>
      <c r="P7" s="91"/>
      <c r="Q7" s="91"/>
      <c r="R7" s="77"/>
      <c r="S7" s="91"/>
      <c r="T7" s="111"/>
      <c r="U7" s="111"/>
      <c r="V7" s="111"/>
      <c r="W7" s="111"/>
      <c r="X7" s="77"/>
      <c r="Y7" s="77"/>
      <c r="Z7" s="77"/>
      <c r="AA7" s="77"/>
      <c r="AB7" s="77"/>
      <c r="AC7" s="77"/>
      <c r="AD7" s="77"/>
      <c r="AE7" s="77"/>
      <c r="AF7" s="77"/>
    </row>
    <row r="8" spans="1:32" ht="14.4" customHeight="1" x14ac:dyDescent="0.25">
      <c r="A8" s="77"/>
      <c r="B8" s="85"/>
      <c r="C8" s="85"/>
      <c r="D8" s="77"/>
      <c r="E8" s="77"/>
      <c r="F8" s="77"/>
      <c r="G8" s="77"/>
      <c r="H8" s="92"/>
      <c r="I8" s="92"/>
      <c r="J8" s="95"/>
      <c r="K8" s="77"/>
      <c r="L8" s="77"/>
      <c r="M8" s="77"/>
      <c r="N8" s="77"/>
      <c r="O8" s="77"/>
      <c r="P8" s="91"/>
      <c r="Q8" s="91"/>
      <c r="R8" s="86" t="s">
        <v>9</v>
      </c>
      <c r="S8" s="278"/>
      <c r="T8" s="278"/>
      <c r="U8" s="278"/>
      <c r="V8" s="278"/>
      <c r="W8" s="278"/>
      <c r="X8" s="77"/>
      <c r="Y8" s="77"/>
      <c r="Z8" s="77"/>
      <c r="AA8" s="77"/>
      <c r="AB8" s="77"/>
      <c r="AC8" s="77"/>
      <c r="AD8" s="77"/>
      <c r="AE8" s="77"/>
      <c r="AF8" s="77"/>
    </row>
    <row r="9" spans="1:32" ht="14.4" customHeight="1" x14ac:dyDescent="0.25">
      <c r="A9" s="77"/>
      <c r="B9" s="251" t="s">
        <v>148</v>
      </c>
      <c r="C9" s="251"/>
      <c r="D9" s="89" t="b">
        <v>1</v>
      </c>
      <c r="E9" s="278" t="s">
        <v>267</v>
      </c>
      <c r="F9" s="278"/>
      <c r="G9" s="77"/>
      <c r="H9" s="222"/>
      <c r="I9" s="222"/>
      <c r="J9" s="95"/>
      <c r="K9" s="77"/>
      <c r="L9" s="77"/>
      <c r="M9" s="77"/>
      <c r="N9" s="77"/>
      <c r="O9" s="77"/>
      <c r="P9" s="91"/>
      <c r="Q9" s="91"/>
      <c r="R9" s="96" t="str">
        <f>D3</f>
        <v>ATP Group</v>
      </c>
      <c r="S9" s="280"/>
      <c r="T9" s="280"/>
      <c r="U9" s="280"/>
      <c r="V9" s="280"/>
      <c r="W9" s="280"/>
      <c r="X9" s="77"/>
      <c r="Y9" s="77"/>
      <c r="Z9" s="77"/>
      <c r="AA9" s="77"/>
      <c r="AB9" s="77"/>
      <c r="AC9" s="77"/>
      <c r="AD9" s="77"/>
      <c r="AE9" s="77"/>
      <c r="AF9" s="77"/>
    </row>
    <row r="10" spans="1:32" ht="14.4" customHeight="1" x14ac:dyDescent="0.25">
      <c r="A10" s="77"/>
      <c r="B10" s="90"/>
      <c r="C10" s="90"/>
      <c r="D10" s="89" t="b">
        <v>1</v>
      </c>
      <c r="E10" s="278" t="s">
        <v>19</v>
      </c>
      <c r="F10" s="278"/>
      <c r="G10" s="77"/>
      <c r="H10" s="222"/>
      <c r="I10" s="222"/>
      <c r="J10" s="95"/>
      <c r="K10" s="77"/>
      <c r="L10" s="77"/>
      <c r="M10" s="77"/>
      <c r="N10" s="77"/>
      <c r="O10" s="77"/>
      <c r="P10" s="91"/>
      <c r="Q10" s="91"/>
      <c r="R10" s="96" t="s">
        <v>12</v>
      </c>
      <c r="S10" s="278"/>
      <c r="T10" s="278"/>
      <c r="U10" s="278"/>
      <c r="V10" s="278"/>
      <c r="W10" s="278"/>
      <c r="X10" s="77"/>
      <c r="Y10" s="77"/>
      <c r="Z10" s="77"/>
      <c r="AA10" s="77"/>
      <c r="AB10" s="77"/>
      <c r="AC10" s="77"/>
      <c r="AD10" s="77"/>
      <c r="AE10" s="77"/>
      <c r="AF10" s="77"/>
    </row>
    <row r="11" spans="1:32" ht="14.4" customHeight="1" x14ac:dyDescent="0.25">
      <c r="A11" s="77"/>
      <c r="B11" s="90"/>
      <c r="C11" s="90"/>
      <c r="D11" s="89" t="b">
        <v>1</v>
      </c>
      <c r="E11" s="278" t="s">
        <v>18</v>
      </c>
      <c r="F11" s="278"/>
      <c r="G11" s="77"/>
      <c r="H11" s="222"/>
      <c r="I11" s="222"/>
      <c r="J11" s="95"/>
      <c r="K11" s="77"/>
      <c r="L11" s="77"/>
      <c r="M11" s="77"/>
      <c r="N11" s="77"/>
      <c r="O11" s="77"/>
      <c r="P11" s="91"/>
      <c r="Q11" s="91"/>
      <c r="R11" s="91"/>
      <c r="S11" s="91"/>
      <c r="T11" s="111"/>
      <c r="U11" s="111"/>
      <c r="V11" s="111"/>
      <c r="W11" s="111"/>
      <c r="X11" s="77"/>
      <c r="Y11" s="77"/>
      <c r="Z11" s="77"/>
      <c r="AA11" s="77"/>
      <c r="AB11" s="77"/>
      <c r="AC11" s="77"/>
      <c r="AD11" s="77"/>
      <c r="AE11" s="77"/>
      <c r="AF11" s="77"/>
    </row>
    <row r="12" spans="1:32" ht="14.4" customHeight="1" x14ac:dyDescent="0.25">
      <c r="A12" s="77"/>
      <c r="B12" s="85"/>
      <c r="C12" s="85"/>
      <c r="D12" s="77"/>
      <c r="E12" s="77"/>
      <c r="F12" s="77"/>
      <c r="G12" s="77"/>
      <c r="H12" s="92"/>
      <c r="I12" s="92"/>
      <c r="J12" s="95"/>
      <c r="K12" s="77"/>
      <c r="L12" s="77"/>
      <c r="M12" s="77"/>
      <c r="N12" s="77"/>
      <c r="O12" s="77"/>
      <c r="P12" s="91"/>
      <c r="Q12" s="91"/>
      <c r="R12" s="91"/>
      <c r="S12" s="91"/>
      <c r="T12" s="111"/>
      <c r="U12" s="111"/>
      <c r="V12" s="111"/>
      <c r="W12" s="111"/>
      <c r="X12" s="77"/>
      <c r="Y12" s="77"/>
      <c r="Z12" s="77"/>
      <c r="AA12" s="77"/>
      <c r="AB12" s="77"/>
      <c r="AC12" s="77"/>
      <c r="AD12" s="77"/>
      <c r="AE12" s="77"/>
      <c r="AF12" s="77"/>
    </row>
    <row r="13" spans="1:32" ht="14.4" customHeight="1" x14ac:dyDescent="0.25">
      <c r="A13" s="77"/>
      <c r="B13" s="251" t="s">
        <v>10</v>
      </c>
      <c r="C13" s="251"/>
      <c r="D13" s="93" t="b">
        <v>1</v>
      </c>
      <c r="E13" s="251" t="s">
        <v>316</v>
      </c>
      <c r="F13" s="251"/>
      <c r="G13" s="156" t="b">
        <v>1</v>
      </c>
      <c r="H13" s="251" t="s">
        <v>93</v>
      </c>
      <c r="I13" s="251"/>
      <c r="J13" s="77"/>
      <c r="K13" s="77"/>
      <c r="L13" s="77"/>
      <c r="M13" s="77"/>
      <c r="N13" s="77"/>
      <c r="O13" s="77"/>
      <c r="P13" s="91"/>
      <c r="Q13" s="91"/>
      <c r="R13" s="91"/>
      <c r="S13" s="91"/>
      <c r="T13" s="80"/>
      <c r="U13" s="80"/>
      <c r="V13" s="80"/>
      <c r="W13" s="80"/>
      <c r="X13" s="77"/>
      <c r="Y13" s="77"/>
      <c r="Z13" s="77"/>
      <c r="AA13" s="77"/>
      <c r="AB13" s="77"/>
      <c r="AC13" s="77"/>
      <c r="AD13" s="77"/>
      <c r="AE13" s="77"/>
      <c r="AF13" s="77"/>
    </row>
    <row r="14" spans="1:32" ht="14.4" customHeight="1" x14ac:dyDescent="0.25">
      <c r="A14" s="77"/>
      <c r="B14" s="77"/>
      <c r="C14" s="77"/>
      <c r="D14" s="95"/>
      <c r="E14" s="95"/>
      <c r="F14" s="95"/>
      <c r="G14" s="95"/>
      <c r="H14" s="90"/>
      <c r="I14" s="90"/>
      <c r="J14" s="77"/>
      <c r="K14" s="77"/>
      <c r="L14" s="77"/>
      <c r="M14" s="77"/>
      <c r="N14" s="77"/>
      <c r="O14" s="77"/>
      <c r="P14" s="91"/>
      <c r="Q14" s="91"/>
      <c r="R14" s="91"/>
      <c r="S14" s="91"/>
      <c r="T14" s="80"/>
      <c r="U14" s="80"/>
      <c r="V14" s="80"/>
      <c r="W14" s="80"/>
      <c r="X14" s="77"/>
      <c r="Y14" s="77"/>
      <c r="Z14" s="77"/>
      <c r="AA14" s="77"/>
      <c r="AB14" s="77"/>
      <c r="AC14" s="77"/>
      <c r="AD14" s="77"/>
      <c r="AE14" s="77"/>
      <c r="AF14" s="77"/>
    </row>
    <row r="15" spans="1:32" ht="14.4" customHeight="1" x14ac:dyDescent="0.25">
      <c r="A15" s="77"/>
      <c r="B15" s="264" t="s">
        <v>25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77"/>
      <c r="Y15" s="77"/>
      <c r="Z15" s="77"/>
      <c r="AA15" s="77"/>
      <c r="AB15" s="77"/>
      <c r="AC15" s="77"/>
      <c r="AD15" s="77"/>
      <c r="AE15" s="77"/>
      <c r="AF15" s="77"/>
    </row>
    <row r="16" spans="1:32" ht="36" customHeight="1" x14ac:dyDescent="0.25">
      <c r="A16" s="77"/>
      <c r="B16" s="265" t="s">
        <v>153</v>
      </c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77"/>
      <c r="Y16" s="77"/>
      <c r="Z16" s="77"/>
      <c r="AA16" s="77"/>
      <c r="AB16" s="77"/>
      <c r="AC16" s="77"/>
      <c r="AD16" s="77"/>
      <c r="AE16" s="77"/>
      <c r="AF16" s="77"/>
    </row>
    <row r="17" spans="1:32" ht="42.6" customHeight="1" x14ac:dyDescent="0.25">
      <c r="A17" s="124"/>
      <c r="B17" s="130" t="s">
        <v>27</v>
      </c>
      <c r="C17" s="281" t="s">
        <v>10</v>
      </c>
      <c r="D17" s="282"/>
      <c r="E17" s="282"/>
      <c r="F17" s="282"/>
      <c r="G17" s="282"/>
      <c r="H17" s="283"/>
      <c r="I17" s="281" t="s">
        <v>28</v>
      </c>
      <c r="J17" s="282"/>
      <c r="K17" s="282"/>
      <c r="L17" s="283"/>
      <c r="M17" s="281" t="s">
        <v>29</v>
      </c>
      <c r="N17" s="283"/>
      <c r="O17" s="140" t="s">
        <v>154</v>
      </c>
      <c r="P17" s="138" t="s">
        <v>155</v>
      </c>
      <c r="Q17" s="138" t="s">
        <v>156</v>
      </c>
      <c r="R17" s="139" t="s">
        <v>157</v>
      </c>
      <c r="S17" s="366" t="s">
        <v>158</v>
      </c>
      <c r="T17" s="367"/>
      <c r="U17" s="367"/>
      <c r="V17" s="367"/>
      <c r="W17" s="368"/>
      <c r="X17" s="131"/>
      <c r="Y17" s="131"/>
      <c r="Z17" s="131"/>
      <c r="AA17" s="131"/>
      <c r="AB17" s="131"/>
      <c r="AC17" s="131"/>
      <c r="AD17" s="131"/>
      <c r="AE17" s="131"/>
      <c r="AF17" s="77"/>
    </row>
    <row r="18" spans="1:32" ht="228" x14ac:dyDescent="0.25">
      <c r="A18" s="124"/>
      <c r="B18" s="135">
        <v>0</v>
      </c>
      <c r="C18" s="295" t="s">
        <v>317</v>
      </c>
      <c r="D18" s="296"/>
      <c r="E18" s="296"/>
      <c r="F18" s="296"/>
      <c r="G18" s="297"/>
      <c r="H18" s="136" t="s">
        <v>34</v>
      </c>
      <c r="I18" s="295" t="s">
        <v>318</v>
      </c>
      <c r="J18" s="296"/>
      <c r="K18" s="296"/>
      <c r="L18" s="297"/>
      <c r="M18" s="319" t="s">
        <v>160</v>
      </c>
      <c r="N18" s="320"/>
      <c r="O18" s="143" t="s">
        <v>319</v>
      </c>
      <c r="P18" s="114" t="s">
        <v>37</v>
      </c>
      <c r="Q18" s="137" t="s">
        <v>320</v>
      </c>
      <c r="R18" s="137" t="s">
        <v>321</v>
      </c>
      <c r="S18" s="369"/>
      <c r="T18" s="370"/>
      <c r="U18" s="370"/>
      <c r="V18" s="370"/>
      <c r="W18" s="371"/>
      <c r="X18" s="131"/>
      <c r="Y18" s="131"/>
      <c r="Z18" s="131"/>
      <c r="AA18" s="131"/>
      <c r="AB18" s="131"/>
      <c r="AC18" s="131"/>
      <c r="AD18" s="131"/>
      <c r="AE18" s="131"/>
      <c r="AF18" s="77"/>
    </row>
    <row r="19" spans="1:32" ht="14.4" customHeight="1" x14ac:dyDescent="0.25">
      <c r="A19" s="120"/>
      <c r="B19" s="257">
        <v>1</v>
      </c>
      <c r="C19" s="268" t="s">
        <v>322</v>
      </c>
      <c r="D19" s="243" t="s">
        <v>323</v>
      </c>
      <c r="E19" s="244"/>
      <c r="F19" s="244"/>
      <c r="G19" s="245"/>
      <c r="H19" s="155">
        <v>1.1000000000000001</v>
      </c>
      <c r="I19" s="310" t="s">
        <v>324</v>
      </c>
      <c r="J19" s="311"/>
      <c r="K19" s="311"/>
      <c r="L19" s="312"/>
      <c r="M19" s="285" t="s">
        <v>160</v>
      </c>
      <c r="N19" s="286"/>
      <c r="O19" s="99"/>
      <c r="P19" s="100"/>
      <c r="Q19" s="132"/>
      <c r="R19" s="132"/>
      <c r="S19" s="336"/>
      <c r="T19" s="337"/>
      <c r="U19" s="337"/>
      <c r="V19" s="337"/>
      <c r="W19" s="338"/>
      <c r="X19" s="120"/>
      <c r="Y19" s="120"/>
      <c r="Z19" s="120"/>
      <c r="AA19" s="120"/>
      <c r="AB19" s="120"/>
      <c r="AC19" s="120"/>
      <c r="AD19" s="120"/>
      <c r="AE19" s="120"/>
      <c r="AF19" s="77"/>
    </row>
    <row r="20" spans="1:32" ht="14.4" customHeight="1" x14ac:dyDescent="0.25">
      <c r="A20" s="120"/>
      <c r="B20" s="258"/>
      <c r="C20" s="270"/>
      <c r="D20" s="246"/>
      <c r="E20" s="247"/>
      <c r="F20" s="247"/>
      <c r="G20" s="248"/>
      <c r="H20" s="134">
        <v>1.2</v>
      </c>
      <c r="I20" s="375" t="s">
        <v>325</v>
      </c>
      <c r="J20" s="376"/>
      <c r="K20" s="376"/>
      <c r="L20" s="377"/>
      <c r="M20" s="285" t="s">
        <v>160</v>
      </c>
      <c r="N20" s="286"/>
      <c r="O20" s="99"/>
      <c r="P20" s="100"/>
      <c r="Q20" s="132"/>
      <c r="R20" s="132"/>
      <c r="S20" s="336"/>
      <c r="T20" s="337"/>
      <c r="U20" s="337"/>
      <c r="V20" s="337"/>
      <c r="W20" s="338"/>
      <c r="X20" s="120"/>
      <c r="Y20" s="120"/>
      <c r="Z20" s="120"/>
      <c r="AA20" s="120"/>
      <c r="AB20" s="120"/>
      <c r="AC20" s="120"/>
      <c r="AD20" s="120"/>
      <c r="AE20" s="120"/>
      <c r="AF20" s="77"/>
    </row>
    <row r="21" spans="1:32" ht="14.4" customHeight="1" x14ac:dyDescent="0.25">
      <c r="A21" s="120"/>
      <c r="B21" s="258"/>
      <c r="C21" s="270"/>
      <c r="D21" s="246"/>
      <c r="E21" s="247"/>
      <c r="F21" s="247"/>
      <c r="G21" s="248"/>
      <c r="H21" s="153">
        <v>1.3</v>
      </c>
      <c r="I21" s="310" t="s">
        <v>125</v>
      </c>
      <c r="J21" s="311"/>
      <c r="K21" s="311"/>
      <c r="L21" s="312"/>
      <c r="M21" s="285" t="s">
        <v>160</v>
      </c>
      <c r="N21" s="286"/>
      <c r="O21" s="99"/>
      <c r="P21" s="100"/>
      <c r="Q21" s="132"/>
      <c r="R21" s="132"/>
      <c r="S21" s="336"/>
      <c r="T21" s="337"/>
      <c r="U21" s="337"/>
      <c r="V21" s="337"/>
      <c r="W21" s="338"/>
      <c r="X21" s="120"/>
      <c r="Y21" s="120"/>
      <c r="Z21" s="120"/>
      <c r="AA21" s="120"/>
      <c r="AB21" s="120"/>
      <c r="AC21" s="120"/>
      <c r="AD21" s="120"/>
      <c r="AE21" s="120"/>
      <c r="AF21" s="77"/>
    </row>
    <row r="22" spans="1:32" ht="14.4" customHeight="1" x14ac:dyDescent="0.25">
      <c r="A22" s="120"/>
      <c r="B22" s="258"/>
      <c r="C22" s="270"/>
      <c r="D22" s="246"/>
      <c r="E22" s="247"/>
      <c r="F22" s="247"/>
      <c r="G22" s="248"/>
      <c r="H22" s="154">
        <v>1.4</v>
      </c>
      <c r="I22" s="310" t="s">
        <v>326</v>
      </c>
      <c r="J22" s="291"/>
      <c r="K22" s="291"/>
      <c r="L22" s="292"/>
      <c r="M22" s="381" t="s">
        <v>327</v>
      </c>
      <c r="N22" s="382"/>
      <c r="O22" s="99"/>
      <c r="P22" s="100"/>
      <c r="Q22" s="132"/>
      <c r="R22" s="132"/>
      <c r="S22" s="336"/>
      <c r="T22" s="337"/>
      <c r="U22" s="337"/>
      <c r="V22" s="337"/>
      <c r="W22" s="338"/>
      <c r="X22" s="127"/>
      <c r="Y22" s="127"/>
      <c r="Z22" s="127"/>
      <c r="AA22" s="127"/>
      <c r="AB22" s="127"/>
      <c r="AC22" s="127"/>
      <c r="AD22" s="127"/>
      <c r="AE22" s="127"/>
      <c r="AF22" s="77"/>
    </row>
    <row r="23" spans="1:32" ht="14.4" customHeight="1" x14ac:dyDescent="0.25">
      <c r="A23" s="120"/>
      <c r="B23" s="258"/>
      <c r="C23" s="270"/>
      <c r="D23" s="243" t="s">
        <v>328</v>
      </c>
      <c r="E23" s="244"/>
      <c r="F23" s="244"/>
      <c r="G23" s="245"/>
      <c r="H23" s="155">
        <v>1.5</v>
      </c>
      <c r="I23" s="310" t="s">
        <v>324</v>
      </c>
      <c r="J23" s="311"/>
      <c r="K23" s="311"/>
      <c r="L23" s="312"/>
      <c r="M23" s="285" t="s">
        <v>160</v>
      </c>
      <c r="N23" s="286"/>
      <c r="O23" s="99"/>
      <c r="P23" s="100"/>
      <c r="Q23" s="132"/>
      <c r="R23" s="132"/>
      <c r="S23" s="336"/>
      <c r="T23" s="337"/>
      <c r="U23" s="337"/>
      <c r="V23" s="337"/>
      <c r="W23" s="338"/>
      <c r="X23" s="120"/>
      <c r="Y23" s="120"/>
      <c r="Z23" s="120"/>
      <c r="AA23" s="120"/>
      <c r="AB23" s="120"/>
      <c r="AC23" s="120"/>
      <c r="AD23" s="120"/>
      <c r="AE23" s="120"/>
      <c r="AF23" s="77"/>
    </row>
    <row r="24" spans="1:32" ht="14.4" customHeight="1" x14ac:dyDescent="0.25">
      <c r="A24" s="120"/>
      <c r="B24" s="258"/>
      <c r="C24" s="270"/>
      <c r="D24" s="246"/>
      <c r="E24" s="247"/>
      <c r="F24" s="247"/>
      <c r="G24" s="248"/>
      <c r="H24" s="134">
        <v>1.6</v>
      </c>
      <c r="I24" s="375" t="s">
        <v>325</v>
      </c>
      <c r="J24" s="376"/>
      <c r="K24" s="376"/>
      <c r="L24" s="377"/>
      <c r="M24" s="285" t="s">
        <v>160</v>
      </c>
      <c r="N24" s="286"/>
      <c r="O24" s="99"/>
      <c r="P24" s="100"/>
      <c r="Q24" s="132"/>
      <c r="R24" s="132"/>
      <c r="S24" s="336"/>
      <c r="T24" s="337"/>
      <c r="U24" s="337"/>
      <c r="V24" s="337"/>
      <c r="W24" s="338"/>
      <c r="X24" s="120"/>
      <c r="Y24" s="120"/>
      <c r="Z24" s="120"/>
      <c r="AA24" s="120"/>
      <c r="AB24" s="120"/>
      <c r="AC24" s="120"/>
      <c r="AD24" s="120"/>
      <c r="AE24" s="120"/>
      <c r="AF24" s="77"/>
    </row>
    <row r="25" spans="1:32" ht="14.4" customHeight="1" x14ac:dyDescent="0.25">
      <c r="A25" s="120"/>
      <c r="B25" s="258"/>
      <c r="C25" s="270"/>
      <c r="D25" s="246"/>
      <c r="E25" s="247"/>
      <c r="F25" s="247"/>
      <c r="G25" s="248"/>
      <c r="H25" s="153">
        <v>1.7</v>
      </c>
      <c r="I25" s="310" t="s">
        <v>125</v>
      </c>
      <c r="J25" s="311"/>
      <c r="K25" s="311"/>
      <c r="L25" s="312"/>
      <c r="M25" s="285" t="s">
        <v>160</v>
      </c>
      <c r="N25" s="286"/>
      <c r="O25" s="99"/>
      <c r="P25" s="100"/>
      <c r="Q25" s="132"/>
      <c r="R25" s="132"/>
      <c r="S25" s="336"/>
      <c r="T25" s="337"/>
      <c r="U25" s="337"/>
      <c r="V25" s="337"/>
      <c r="W25" s="338"/>
      <c r="X25" s="120"/>
      <c r="Y25" s="120"/>
      <c r="Z25" s="120"/>
      <c r="AA25" s="120"/>
      <c r="AB25" s="120"/>
      <c r="AC25" s="120"/>
      <c r="AD25" s="120"/>
      <c r="AE25" s="120"/>
      <c r="AF25" s="77"/>
    </row>
    <row r="26" spans="1:32" ht="14.4" customHeight="1" x14ac:dyDescent="0.25">
      <c r="A26" s="120"/>
      <c r="B26" s="258"/>
      <c r="C26" s="270"/>
      <c r="D26" s="246"/>
      <c r="E26" s="247"/>
      <c r="F26" s="247"/>
      <c r="G26" s="248"/>
      <c r="H26" s="154">
        <v>1.8</v>
      </c>
      <c r="I26" s="310" t="s">
        <v>326</v>
      </c>
      <c r="J26" s="291"/>
      <c r="K26" s="291"/>
      <c r="L26" s="292"/>
      <c r="M26" s="381" t="s">
        <v>327</v>
      </c>
      <c r="N26" s="382"/>
      <c r="O26" s="99"/>
      <c r="P26" s="100"/>
      <c r="Q26" s="132"/>
      <c r="R26" s="132"/>
      <c r="S26" s="336"/>
      <c r="T26" s="337"/>
      <c r="U26" s="337"/>
      <c r="V26" s="337"/>
      <c r="W26" s="338"/>
      <c r="X26" s="127"/>
      <c r="Y26" s="127"/>
      <c r="Z26" s="127"/>
      <c r="AA26" s="127"/>
      <c r="AB26" s="127"/>
      <c r="AC26" s="127"/>
      <c r="AD26" s="127"/>
      <c r="AE26" s="127"/>
      <c r="AF26" s="77"/>
    </row>
    <row r="27" spans="1:32" ht="14.4" customHeight="1" x14ac:dyDescent="0.25">
      <c r="A27" s="120"/>
      <c r="B27" s="258"/>
      <c r="C27" s="270"/>
      <c r="D27" s="284" t="s">
        <v>329</v>
      </c>
      <c r="E27" s="284"/>
      <c r="F27" s="284"/>
      <c r="G27" s="284"/>
      <c r="H27" s="155">
        <v>1.9</v>
      </c>
      <c r="I27" s="305" t="s">
        <v>324</v>
      </c>
      <c r="J27" s="305"/>
      <c r="K27" s="305"/>
      <c r="L27" s="305"/>
      <c r="M27" s="289" t="s">
        <v>160</v>
      </c>
      <c r="N27" s="289"/>
      <c r="O27" s="99"/>
      <c r="P27" s="100"/>
      <c r="Q27" s="132"/>
      <c r="R27" s="132"/>
      <c r="S27" s="336"/>
      <c r="T27" s="337"/>
      <c r="U27" s="337"/>
      <c r="V27" s="337"/>
      <c r="W27" s="338"/>
      <c r="X27" s="120"/>
      <c r="Y27" s="120"/>
      <c r="Z27" s="120"/>
      <c r="AA27" s="120"/>
      <c r="AB27" s="120"/>
      <c r="AC27" s="120"/>
      <c r="AD27" s="120"/>
      <c r="AE27" s="120"/>
      <c r="AF27" s="77"/>
    </row>
    <row r="28" spans="1:32" ht="14.4" customHeight="1" x14ac:dyDescent="0.25">
      <c r="A28" s="120"/>
      <c r="B28" s="258"/>
      <c r="C28" s="270"/>
      <c r="D28" s="284"/>
      <c r="E28" s="284"/>
      <c r="F28" s="284"/>
      <c r="G28" s="284"/>
      <c r="H28" s="134">
        <v>1.1000000000000001</v>
      </c>
      <c r="I28" s="383" t="s">
        <v>325</v>
      </c>
      <c r="J28" s="383"/>
      <c r="K28" s="383"/>
      <c r="L28" s="383"/>
      <c r="M28" s="289" t="s">
        <v>160</v>
      </c>
      <c r="N28" s="289"/>
      <c r="O28" s="99"/>
      <c r="P28" s="100"/>
      <c r="Q28" s="132"/>
      <c r="R28" s="132"/>
      <c r="S28" s="336"/>
      <c r="T28" s="337"/>
      <c r="U28" s="337"/>
      <c r="V28" s="337"/>
      <c r="W28" s="338"/>
      <c r="X28" s="120"/>
      <c r="Y28" s="120"/>
      <c r="Z28" s="120"/>
      <c r="AA28" s="120"/>
      <c r="AB28" s="120"/>
      <c r="AC28" s="120"/>
      <c r="AD28" s="120"/>
      <c r="AE28" s="120"/>
      <c r="AF28" s="77"/>
    </row>
    <row r="29" spans="1:32" ht="14.4" customHeight="1" x14ac:dyDescent="0.25">
      <c r="A29" s="120"/>
      <c r="B29" s="258"/>
      <c r="C29" s="270"/>
      <c r="D29" s="284"/>
      <c r="E29" s="284"/>
      <c r="F29" s="284"/>
      <c r="G29" s="284"/>
      <c r="H29" s="153">
        <v>1.1100000000000001</v>
      </c>
      <c r="I29" s="305" t="s">
        <v>125</v>
      </c>
      <c r="J29" s="305"/>
      <c r="K29" s="305"/>
      <c r="L29" s="305"/>
      <c r="M29" s="289" t="s">
        <v>160</v>
      </c>
      <c r="N29" s="289"/>
      <c r="O29" s="99"/>
      <c r="P29" s="100"/>
      <c r="Q29" s="132"/>
      <c r="R29" s="132"/>
      <c r="S29" s="336"/>
      <c r="T29" s="337"/>
      <c r="U29" s="337"/>
      <c r="V29" s="337"/>
      <c r="W29" s="338"/>
      <c r="X29" s="120"/>
      <c r="Y29" s="120"/>
      <c r="Z29" s="120"/>
      <c r="AA29" s="120"/>
      <c r="AB29" s="120"/>
      <c r="AC29" s="120"/>
      <c r="AD29" s="120"/>
      <c r="AE29" s="120"/>
      <c r="AF29" s="77"/>
    </row>
    <row r="30" spans="1:32" ht="14.4" customHeight="1" x14ac:dyDescent="0.25">
      <c r="A30" s="120"/>
      <c r="B30" s="287"/>
      <c r="C30" s="269"/>
      <c r="D30" s="284"/>
      <c r="E30" s="284"/>
      <c r="F30" s="284"/>
      <c r="G30" s="284"/>
      <c r="H30" s="154">
        <v>1.1200000000000001</v>
      </c>
      <c r="I30" s="305" t="s">
        <v>326</v>
      </c>
      <c r="J30" s="305"/>
      <c r="K30" s="305"/>
      <c r="L30" s="305"/>
      <c r="M30" s="380" t="s">
        <v>327</v>
      </c>
      <c r="N30" s="380"/>
      <c r="O30" s="99"/>
      <c r="P30" s="100"/>
      <c r="Q30" s="132"/>
      <c r="R30" s="132"/>
      <c r="S30" s="336"/>
      <c r="T30" s="337"/>
      <c r="U30" s="337"/>
      <c r="V30" s="337"/>
      <c r="W30" s="338"/>
      <c r="X30" s="127"/>
      <c r="Y30" s="127"/>
      <c r="Z30" s="127"/>
      <c r="AA30" s="127"/>
      <c r="AB30" s="127"/>
      <c r="AC30" s="127"/>
      <c r="AD30" s="127"/>
      <c r="AE30" s="127"/>
      <c r="AF30" s="77"/>
    </row>
    <row r="31" spans="1:32" ht="14.4" customHeight="1" x14ac:dyDescent="0.25">
      <c r="A31" s="120"/>
      <c r="B31" s="257">
        <v>2</v>
      </c>
      <c r="C31" s="268" t="s">
        <v>330</v>
      </c>
      <c r="D31" s="243" t="s">
        <v>331</v>
      </c>
      <c r="E31" s="244"/>
      <c r="F31" s="244"/>
      <c r="G31" s="245"/>
      <c r="H31" s="155">
        <v>2.1</v>
      </c>
      <c r="I31" s="310" t="s">
        <v>324</v>
      </c>
      <c r="J31" s="311"/>
      <c r="K31" s="311"/>
      <c r="L31" s="312"/>
      <c r="M31" s="285" t="s">
        <v>160</v>
      </c>
      <c r="N31" s="286"/>
      <c r="O31" s="99"/>
      <c r="P31" s="100"/>
      <c r="Q31" s="132"/>
      <c r="R31" s="132"/>
      <c r="S31" s="336"/>
      <c r="T31" s="337"/>
      <c r="U31" s="337"/>
      <c r="V31" s="337"/>
      <c r="W31" s="338"/>
      <c r="X31" s="120"/>
      <c r="Y31" s="120"/>
      <c r="Z31" s="120"/>
      <c r="AA31" s="120"/>
      <c r="AB31" s="120"/>
      <c r="AC31" s="120"/>
      <c r="AD31" s="120"/>
      <c r="AE31" s="120"/>
      <c r="AF31" s="77"/>
    </row>
    <row r="32" spans="1:32" ht="14.4" customHeight="1" x14ac:dyDescent="0.25">
      <c r="A32" s="120"/>
      <c r="B32" s="258"/>
      <c r="C32" s="270"/>
      <c r="D32" s="246"/>
      <c r="E32" s="247"/>
      <c r="F32" s="247"/>
      <c r="G32" s="248"/>
      <c r="H32" s="134">
        <v>2.2000000000000002</v>
      </c>
      <c r="I32" s="375" t="s">
        <v>325</v>
      </c>
      <c r="J32" s="376"/>
      <c r="K32" s="376"/>
      <c r="L32" s="377"/>
      <c r="M32" s="285" t="s">
        <v>160</v>
      </c>
      <c r="N32" s="286"/>
      <c r="O32" s="99"/>
      <c r="P32" s="100"/>
      <c r="Q32" s="132"/>
      <c r="R32" s="132"/>
      <c r="S32" s="336"/>
      <c r="T32" s="337"/>
      <c r="U32" s="337"/>
      <c r="V32" s="337"/>
      <c r="W32" s="338"/>
      <c r="X32" s="120"/>
      <c r="Y32" s="120"/>
      <c r="Z32" s="120"/>
      <c r="AA32" s="120"/>
      <c r="AB32" s="120"/>
      <c r="AC32" s="120"/>
      <c r="AD32" s="120"/>
      <c r="AE32" s="120"/>
      <c r="AF32" s="77"/>
    </row>
    <row r="33" spans="1:32" ht="14.4" customHeight="1" x14ac:dyDescent="0.25">
      <c r="A33" s="120"/>
      <c r="B33" s="258"/>
      <c r="C33" s="270"/>
      <c r="D33" s="246"/>
      <c r="E33" s="247"/>
      <c r="F33" s="247"/>
      <c r="G33" s="248"/>
      <c r="H33" s="153">
        <v>2.2999999999999998</v>
      </c>
      <c r="I33" s="310" t="s">
        <v>125</v>
      </c>
      <c r="J33" s="311"/>
      <c r="K33" s="311"/>
      <c r="L33" s="312"/>
      <c r="M33" s="285" t="s">
        <v>160</v>
      </c>
      <c r="N33" s="286"/>
      <c r="O33" s="99"/>
      <c r="P33" s="100"/>
      <c r="Q33" s="132"/>
      <c r="R33" s="132"/>
      <c r="S33" s="336"/>
      <c r="T33" s="337"/>
      <c r="U33" s="337"/>
      <c r="V33" s="337"/>
      <c r="W33" s="338"/>
      <c r="X33" s="120"/>
      <c r="Y33" s="120"/>
      <c r="Z33" s="120"/>
      <c r="AA33" s="120"/>
      <c r="AB33" s="120"/>
      <c r="AC33" s="120"/>
      <c r="AD33" s="120"/>
      <c r="AE33" s="120"/>
      <c r="AF33" s="77"/>
    </row>
    <row r="34" spans="1:32" ht="14.4" customHeight="1" x14ac:dyDescent="0.25">
      <c r="A34" s="120"/>
      <c r="B34" s="258"/>
      <c r="C34" s="270"/>
      <c r="D34" s="246"/>
      <c r="E34" s="247"/>
      <c r="F34" s="247"/>
      <c r="G34" s="248"/>
      <c r="H34" s="154">
        <v>2.4</v>
      </c>
      <c r="I34" s="310" t="s">
        <v>326</v>
      </c>
      <c r="J34" s="291"/>
      <c r="K34" s="291"/>
      <c r="L34" s="292"/>
      <c r="M34" s="381" t="s">
        <v>327</v>
      </c>
      <c r="N34" s="382"/>
      <c r="O34" s="99"/>
      <c r="P34" s="100"/>
      <c r="Q34" s="132"/>
      <c r="R34" s="132"/>
      <c r="S34" s="336"/>
      <c r="T34" s="337"/>
      <c r="U34" s="337"/>
      <c r="V34" s="337"/>
      <c r="W34" s="338"/>
      <c r="X34" s="127"/>
      <c r="Y34" s="127"/>
      <c r="Z34" s="127"/>
      <c r="AA34" s="127"/>
      <c r="AB34" s="127"/>
      <c r="AC34" s="127"/>
      <c r="AD34" s="127"/>
      <c r="AE34" s="127"/>
      <c r="AF34" s="77"/>
    </row>
    <row r="35" spans="1:32" ht="14.4" customHeight="1" x14ac:dyDescent="0.25">
      <c r="A35" s="120"/>
      <c r="B35" s="258"/>
      <c r="C35" s="270"/>
      <c r="D35" s="243" t="s">
        <v>332</v>
      </c>
      <c r="E35" s="244"/>
      <c r="F35" s="244"/>
      <c r="G35" s="245"/>
      <c r="H35" s="155">
        <v>2.5</v>
      </c>
      <c r="I35" s="310" t="s">
        <v>324</v>
      </c>
      <c r="J35" s="311"/>
      <c r="K35" s="311"/>
      <c r="L35" s="312"/>
      <c r="M35" s="285" t="s">
        <v>160</v>
      </c>
      <c r="N35" s="286"/>
      <c r="O35" s="99"/>
      <c r="P35" s="100"/>
      <c r="Q35" s="132"/>
      <c r="R35" s="132"/>
      <c r="S35" s="336"/>
      <c r="T35" s="337"/>
      <c r="U35" s="337"/>
      <c r="V35" s="337"/>
      <c r="W35" s="338"/>
      <c r="X35" s="120"/>
      <c r="Y35" s="120"/>
      <c r="Z35" s="120"/>
      <c r="AA35" s="120"/>
      <c r="AB35" s="120"/>
      <c r="AC35" s="120"/>
      <c r="AD35" s="120"/>
      <c r="AE35" s="120"/>
      <c r="AF35" s="77"/>
    </row>
    <row r="36" spans="1:32" ht="14.4" customHeight="1" x14ac:dyDescent="0.25">
      <c r="A36" s="120"/>
      <c r="B36" s="258"/>
      <c r="C36" s="270"/>
      <c r="D36" s="246"/>
      <c r="E36" s="247"/>
      <c r="F36" s="247"/>
      <c r="G36" s="248"/>
      <c r="H36" s="134">
        <v>2.6</v>
      </c>
      <c r="I36" s="375" t="s">
        <v>325</v>
      </c>
      <c r="J36" s="376"/>
      <c r="K36" s="376"/>
      <c r="L36" s="377"/>
      <c r="M36" s="285" t="s">
        <v>160</v>
      </c>
      <c r="N36" s="286"/>
      <c r="O36" s="99"/>
      <c r="P36" s="100"/>
      <c r="Q36" s="132"/>
      <c r="R36" s="132"/>
      <c r="S36" s="336"/>
      <c r="T36" s="337"/>
      <c r="U36" s="337"/>
      <c r="V36" s="337"/>
      <c r="W36" s="338"/>
      <c r="X36" s="120"/>
      <c r="Y36" s="120"/>
      <c r="Z36" s="120"/>
      <c r="AA36" s="120"/>
      <c r="AB36" s="120"/>
      <c r="AC36" s="120"/>
      <c r="AD36" s="120"/>
      <c r="AE36" s="120"/>
      <c r="AF36" s="77"/>
    </row>
    <row r="37" spans="1:32" ht="14.4" customHeight="1" x14ac:dyDescent="0.25">
      <c r="A37" s="120"/>
      <c r="B37" s="258"/>
      <c r="C37" s="270"/>
      <c r="D37" s="246"/>
      <c r="E37" s="247"/>
      <c r="F37" s="247"/>
      <c r="G37" s="248"/>
      <c r="H37" s="153">
        <v>2.7</v>
      </c>
      <c r="I37" s="310" t="s">
        <v>125</v>
      </c>
      <c r="J37" s="311"/>
      <c r="K37" s="311"/>
      <c r="L37" s="312"/>
      <c r="M37" s="285" t="s">
        <v>160</v>
      </c>
      <c r="N37" s="286"/>
      <c r="O37" s="99"/>
      <c r="P37" s="100"/>
      <c r="Q37" s="132"/>
      <c r="R37" s="132"/>
      <c r="S37" s="336"/>
      <c r="T37" s="337"/>
      <c r="U37" s="337"/>
      <c r="V37" s="337"/>
      <c r="W37" s="338"/>
      <c r="X37" s="120"/>
      <c r="Y37" s="120"/>
      <c r="Z37" s="120"/>
      <c r="AA37" s="120"/>
      <c r="AB37" s="120"/>
      <c r="AC37" s="120"/>
      <c r="AD37" s="120"/>
      <c r="AE37" s="120"/>
      <c r="AF37" s="77"/>
    </row>
    <row r="38" spans="1:32" ht="14.4" customHeight="1" x14ac:dyDescent="0.25">
      <c r="A38" s="120"/>
      <c r="B38" s="258"/>
      <c r="C38" s="270"/>
      <c r="D38" s="246"/>
      <c r="E38" s="247"/>
      <c r="F38" s="247"/>
      <c r="G38" s="248"/>
      <c r="H38" s="154">
        <v>2.8</v>
      </c>
      <c r="I38" s="310" t="s">
        <v>326</v>
      </c>
      <c r="J38" s="291"/>
      <c r="K38" s="291"/>
      <c r="L38" s="292"/>
      <c r="M38" s="381" t="s">
        <v>327</v>
      </c>
      <c r="N38" s="382"/>
      <c r="O38" s="99"/>
      <c r="P38" s="100"/>
      <c r="Q38" s="132"/>
      <c r="R38" s="132"/>
      <c r="S38" s="336"/>
      <c r="T38" s="337"/>
      <c r="U38" s="337"/>
      <c r="V38" s="337"/>
      <c r="W38" s="338"/>
      <c r="X38" s="127"/>
      <c r="Y38" s="127"/>
      <c r="Z38" s="127"/>
      <c r="AA38" s="127"/>
      <c r="AB38" s="127"/>
      <c r="AC38" s="127"/>
      <c r="AD38" s="127"/>
      <c r="AE38" s="127"/>
      <c r="AF38" s="77"/>
    </row>
    <row r="39" spans="1:32" ht="14.4" customHeight="1" x14ac:dyDescent="0.25">
      <c r="A39" s="120"/>
      <c r="B39" s="258"/>
      <c r="C39" s="270"/>
      <c r="D39" s="284" t="s">
        <v>333</v>
      </c>
      <c r="E39" s="284"/>
      <c r="F39" s="284"/>
      <c r="G39" s="284"/>
      <c r="H39" s="155">
        <v>2.9</v>
      </c>
      <c r="I39" s="305" t="s">
        <v>324</v>
      </c>
      <c r="J39" s="305"/>
      <c r="K39" s="305"/>
      <c r="L39" s="305"/>
      <c r="M39" s="289" t="s">
        <v>160</v>
      </c>
      <c r="N39" s="289"/>
      <c r="O39" s="99"/>
      <c r="P39" s="100"/>
      <c r="Q39" s="132"/>
      <c r="R39" s="132"/>
      <c r="S39" s="336"/>
      <c r="T39" s="337"/>
      <c r="U39" s="337"/>
      <c r="V39" s="337"/>
      <c r="W39" s="338"/>
      <c r="X39" s="120"/>
      <c r="Y39" s="120"/>
      <c r="Z39" s="120"/>
      <c r="AA39" s="120"/>
      <c r="AB39" s="120"/>
      <c r="AC39" s="120"/>
      <c r="AD39" s="120"/>
      <c r="AE39" s="120"/>
      <c r="AF39" s="77"/>
    </row>
    <row r="40" spans="1:32" ht="14.4" customHeight="1" x14ac:dyDescent="0.25">
      <c r="A40" s="120"/>
      <c r="B40" s="258"/>
      <c r="C40" s="270"/>
      <c r="D40" s="284"/>
      <c r="E40" s="284"/>
      <c r="F40" s="284"/>
      <c r="G40" s="284"/>
      <c r="H40" s="134">
        <v>2.1</v>
      </c>
      <c r="I40" s="383" t="s">
        <v>325</v>
      </c>
      <c r="J40" s="383"/>
      <c r="K40" s="383"/>
      <c r="L40" s="383"/>
      <c r="M40" s="289" t="s">
        <v>160</v>
      </c>
      <c r="N40" s="289"/>
      <c r="O40" s="99"/>
      <c r="P40" s="100"/>
      <c r="Q40" s="132"/>
      <c r="R40" s="132"/>
      <c r="S40" s="336"/>
      <c r="T40" s="337"/>
      <c r="U40" s="337"/>
      <c r="V40" s="337"/>
      <c r="W40" s="338"/>
      <c r="X40" s="120"/>
      <c r="Y40" s="120"/>
      <c r="Z40" s="120"/>
      <c r="AA40" s="120"/>
      <c r="AB40" s="120"/>
      <c r="AC40" s="120"/>
      <c r="AD40" s="120"/>
      <c r="AE40" s="120"/>
      <c r="AF40" s="77"/>
    </row>
    <row r="41" spans="1:32" ht="14.4" customHeight="1" x14ac:dyDescent="0.25">
      <c r="A41" s="120"/>
      <c r="B41" s="258"/>
      <c r="C41" s="270"/>
      <c r="D41" s="284"/>
      <c r="E41" s="284"/>
      <c r="F41" s="284"/>
      <c r="G41" s="284"/>
      <c r="H41" s="153">
        <v>2.11</v>
      </c>
      <c r="I41" s="305" t="s">
        <v>125</v>
      </c>
      <c r="J41" s="305"/>
      <c r="K41" s="305"/>
      <c r="L41" s="305"/>
      <c r="M41" s="289" t="s">
        <v>160</v>
      </c>
      <c r="N41" s="289"/>
      <c r="O41" s="99"/>
      <c r="P41" s="100"/>
      <c r="Q41" s="132"/>
      <c r="R41" s="132"/>
      <c r="S41" s="336"/>
      <c r="T41" s="337"/>
      <c r="U41" s="337"/>
      <c r="V41" s="337"/>
      <c r="W41" s="338"/>
      <c r="X41" s="120"/>
      <c r="Y41" s="120"/>
      <c r="Z41" s="120"/>
      <c r="AA41" s="120"/>
      <c r="AB41" s="120"/>
      <c r="AC41" s="120"/>
      <c r="AD41" s="120"/>
      <c r="AE41" s="120"/>
      <c r="AF41" s="77"/>
    </row>
    <row r="42" spans="1:32" ht="14.4" customHeight="1" x14ac:dyDescent="0.25">
      <c r="A42" s="120"/>
      <c r="B42" s="287"/>
      <c r="C42" s="269"/>
      <c r="D42" s="284"/>
      <c r="E42" s="284"/>
      <c r="F42" s="284"/>
      <c r="G42" s="284"/>
      <c r="H42" s="154">
        <v>2.12</v>
      </c>
      <c r="I42" s="305" t="s">
        <v>326</v>
      </c>
      <c r="J42" s="305"/>
      <c r="K42" s="305"/>
      <c r="L42" s="305"/>
      <c r="M42" s="380" t="s">
        <v>327</v>
      </c>
      <c r="N42" s="380"/>
      <c r="O42" s="99"/>
      <c r="P42" s="100"/>
      <c r="Q42" s="132"/>
      <c r="R42" s="132"/>
      <c r="S42" s="336"/>
      <c r="T42" s="337"/>
      <c r="U42" s="337"/>
      <c r="V42" s="337"/>
      <c r="W42" s="338"/>
      <c r="X42" s="127"/>
      <c r="Y42" s="127"/>
      <c r="Z42" s="127"/>
      <c r="AA42" s="127"/>
      <c r="AB42" s="127"/>
      <c r="AC42" s="127"/>
      <c r="AD42" s="127"/>
      <c r="AE42" s="127"/>
      <c r="AF42" s="77"/>
    </row>
    <row r="43" spans="1:32" ht="14.4" customHeight="1" x14ac:dyDescent="0.25">
      <c r="A43" s="120"/>
      <c r="B43" s="146"/>
      <c r="C43" s="146"/>
      <c r="D43" s="146"/>
      <c r="E43" s="146"/>
      <c r="F43" s="146"/>
      <c r="G43" s="146"/>
      <c r="H43" s="147"/>
      <c r="I43" s="148"/>
      <c r="J43" s="148"/>
      <c r="K43" s="148"/>
      <c r="L43" s="148"/>
      <c r="M43" s="149"/>
      <c r="N43" s="149"/>
      <c r="O43" s="125"/>
      <c r="P43" s="150"/>
      <c r="Q43" s="150"/>
      <c r="R43" s="150"/>
      <c r="S43" s="151"/>
      <c r="T43" s="151"/>
      <c r="U43" s="151"/>
      <c r="V43" s="151"/>
      <c r="W43" s="151"/>
      <c r="X43" s="127"/>
      <c r="Y43" s="127"/>
      <c r="Z43" s="127"/>
      <c r="AA43" s="127"/>
      <c r="AB43" s="127"/>
      <c r="AC43" s="127"/>
      <c r="AD43" s="127"/>
      <c r="AE43" s="127"/>
      <c r="AF43" s="77"/>
    </row>
    <row r="44" spans="1:32" ht="14.4" customHeight="1" x14ac:dyDescent="0.25">
      <c r="A44" s="77"/>
      <c r="B44" s="77"/>
      <c r="C44" s="77"/>
      <c r="D44" s="77"/>
      <c r="E44" s="77"/>
      <c r="F44" s="77"/>
      <c r="G44" s="77"/>
      <c r="H44" s="77"/>
      <c r="I44" s="77"/>
      <c r="J44" s="152"/>
      <c r="K44" s="92"/>
      <c r="L44" s="92"/>
      <c r="M44" s="83"/>
      <c r="N44" s="83"/>
      <c r="O44" s="86" t="s">
        <v>82</v>
      </c>
      <c r="P44" s="107">
        <f>COUNTIF(P19:P30,"PASSED")</f>
        <v>0</v>
      </c>
      <c r="Q44" s="112"/>
      <c r="R44" s="77"/>
      <c r="S44" s="77"/>
      <c r="T44" s="95"/>
      <c r="U44" s="95"/>
      <c r="V44" s="95"/>
      <c r="W44" s="77"/>
      <c r="X44" s="77"/>
      <c r="Y44" s="77"/>
      <c r="Z44" s="77"/>
      <c r="AA44" s="77"/>
      <c r="AB44" s="77"/>
      <c r="AC44" s="77"/>
      <c r="AD44" s="77"/>
      <c r="AE44" s="77"/>
      <c r="AF44" s="77"/>
    </row>
    <row r="45" spans="1:32" ht="14.4" customHeight="1" x14ac:dyDescent="0.25">
      <c r="A45" s="77"/>
      <c r="B45" s="77"/>
      <c r="C45" s="77"/>
      <c r="D45" s="77"/>
      <c r="E45" s="77"/>
      <c r="F45" s="77"/>
      <c r="G45" s="77"/>
      <c r="H45" s="77"/>
      <c r="I45" s="77"/>
      <c r="J45" s="90"/>
      <c r="K45" s="91"/>
      <c r="L45" s="91"/>
      <c r="M45" s="77"/>
      <c r="N45" s="77"/>
      <c r="O45" s="86" t="s">
        <v>83</v>
      </c>
      <c r="P45" s="108">
        <f>COUNTIF(P19:P30, "PASSED WITH CONDITION")</f>
        <v>0</v>
      </c>
      <c r="Q45" s="112"/>
      <c r="R45" s="77"/>
      <c r="S45" s="77"/>
      <c r="T45" s="95"/>
      <c r="U45" s="95"/>
      <c r="V45" s="95"/>
      <c r="W45" s="77"/>
      <c r="X45" s="77"/>
      <c r="Y45" s="77"/>
      <c r="Z45" s="77"/>
      <c r="AA45" s="77"/>
      <c r="AB45" s="77"/>
      <c r="AC45" s="77"/>
      <c r="AD45" s="77"/>
      <c r="AE45" s="77"/>
      <c r="AF45" s="77"/>
    </row>
    <row r="46" spans="1:32" ht="14.4" customHeight="1" x14ac:dyDescent="0.25">
      <c r="A46" s="77"/>
      <c r="B46" s="77"/>
      <c r="C46" s="77"/>
      <c r="D46" s="77"/>
      <c r="E46" s="77"/>
      <c r="F46" s="77"/>
      <c r="G46" s="77"/>
      <c r="H46" s="77"/>
      <c r="I46" s="77"/>
      <c r="J46" s="90"/>
      <c r="K46" s="91"/>
      <c r="L46" s="91"/>
      <c r="M46" s="77"/>
      <c r="N46" s="77"/>
      <c r="O46" s="86" t="s">
        <v>84</v>
      </c>
      <c r="P46" s="109">
        <f>COUNTIF(P19:P30,"FAILED")</f>
        <v>0</v>
      </c>
      <c r="Q46" s="112"/>
      <c r="R46" s="77"/>
      <c r="S46" s="77"/>
      <c r="T46" s="95"/>
      <c r="U46" s="95"/>
      <c r="V46" s="95"/>
      <c r="W46" s="77"/>
      <c r="X46" s="77"/>
      <c r="Y46" s="77"/>
      <c r="Z46" s="77"/>
      <c r="AA46" s="77"/>
      <c r="AB46" s="77"/>
      <c r="AC46" s="77"/>
      <c r="AD46" s="77"/>
      <c r="AE46" s="77"/>
      <c r="AF46" s="77"/>
    </row>
    <row r="47" spans="1:32" ht="14.4" customHeight="1" x14ac:dyDescent="0.25">
      <c r="A47" s="77"/>
      <c r="B47" s="77"/>
      <c r="C47" s="77"/>
      <c r="D47" s="77"/>
      <c r="E47" s="77"/>
      <c r="F47" s="77"/>
      <c r="G47" s="77"/>
      <c r="H47" s="77"/>
      <c r="I47" s="77"/>
      <c r="J47" s="90"/>
      <c r="K47" s="91"/>
      <c r="L47" s="91"/>
      <c r="M47" s="77"/>
      <c r="N47" s="77"/>
      <c r="O47" s="86" t="s">
        <v>85</v>
      </c>
      <c r="P47" s="110">
        <f>COUNTIF(P19:P30,"N/A")</f>
        <v>0</v>
      </c>
      <c r="Q47" s="112"/>
      <c r="R47" s="77"/>
      <c r="S47" s="77"/>
      <c r="T47" s="95"/>
      <c r="U47" s="95"/>
      <c r="V47" s="95"/>
      <c r="W47" s="77"/>
      <c r="X47" s="77"/>
      <c r="Y47" s="77"/>
      <c r="Z47" s="77"/>
      <c r="AA47" s="77"/>
      <c r="AB47" s="77"/>
      <c r="AC47" s="77"/>
      <c r="AD47" s="77"/>
      <c r="AE47" s="77"/>
      <c r="AF47" s="77"/>
    </row>
    <row r="48" spans="1:32" ht="14.4" customHeight="1" x14ac:dyDescent="0.25">
      <c r="A48" s="77"/>
      <c r="B48" s="77"/>
      <c r="C48" s="77"/>
      <c r="D48" s="77"/>
      <c r="E48" s="77"/>
      <c r="F48" s="77"/>
      <c r="G48" s="77"/>
      <c r="H48" s="77"/>
      <c r="I48" s="77"/>
      <c r="J48" s="90"/>
      <c r="K48" s="91"/>
      <c r="L48" s="91"/>
      <c r="M48" s="77"/>
      <c r="N48" s="77"/>
      <c r="O48" s="77"/>
      <c r="P48" s="95"/>
      <c r="Q48" s="95"/>
      <c r="R48" s="77"/>
      <c r="S48" s="77"/>
      <c r="T48" s="95"/>
      <c r="U48" s="95"/>
      <c r="V48" s="95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49" spans="1:32" ht="14.4" customHeight="1" x14ac:dyDescent="0.25">
      <c r="A49" s="77"/>
      <c r="B49" s="77"/>
      <c r="C49" s="77"/>
      <c r="D49" s="77"/>
      <c r="E49" s="77"/>
      <c r="F49" s="77"/>
      <c r="G49" s="77"/>
      <c r="H49" s="77"/>
      <c r="I49" s="77"/>
      <c r="J49" s="90"/>
      <c r="K49" s="91"/>
      <c r="L49" s="91"/>
      <c r="M49" s="77"/>
      <c r="N49" s="77"/>
      <c r="O49" s="77"/>
      <c r="P49" s="95"/>
      <c r="Q49" s="95"/>
      <c r="R49" s="77"/>
      <c r="S49" s="77"/>
      <c r="T49" s="95"/>
      <c r="U49" s="95"/>
      <c r="V49" s="95"/>
      <c r="W49" s="77"/>
      <c r="X49" s="77"/>
      <c r="Y49" s="77"/>
      <c r="Z49" s="77"/>
      <c r="AA49" s="77"/>
      <c r="AB49" s="77"/>
      <c r="AC49" s="77"/>
      <c r="AD49" s="77"/>
      <c r="AE49" s="77"/>
      <c r="AF49" s="77"/>
    </row>
    <row r="50" spans="1:32" ht="14.4" customHeight="1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90"/>
      <c r="K50" s="91"/>
      <c r="L50" s="91"/>
      <c r="M50" s="77"/>
      <c r="N50" s="77"/>
      <c r="O50" s="77"/>
      <c r="P50" s="77"/>
      <c r="Q50" s="77"/>
      <c r="R50" s="77"/>
      <c r="S50" s="77"/>
      <c r="T50" s="95"/>
      <c r="U50" s="95"/>
      <c r="V50" s="95"/>
      <c r="W50" s="77"/>
      <c r="X50" s="77"/>
      <c r="Y50" s="77"/>
      <c r="Z50" s="77"/>
      <c r="AA50" s="77"/>
      <c r="AB50" s="77"/>
      <c r="AC50" s="77"/>
      <c r="AD50" s="77"/>
      <c r="AE50" s="77"/>
      <c r="AF50" s="77"/>
    </row>
    <row r="51" spans="1:32" ht="14.4" customHeight="1" x14ac:dyDescent="0.25">
      <c r="A51" s="77"/>
      <c r="B51" s="77"/>
      <c r="C51" s="77"/>
      <c r="D51" s="77"/>
      <c r="E51" s="77"/>
      <c r="F51" s="77"/>
      <c r="G51" s="77"/>
      <c r="H51" s="77"/>
      <c r="I51" s="77"/>
      <c r="J51" s="90"/>
      <c r="K51" s="91"/>
      <c r="L51" s="91"/>
      <c r="M51" s="77"/>
      <c r="N51" s="77"/>
      <c r="O51" s="77"/>
      <c r="P51" s="77"/>
      <c r="Q51" s="77"/>
      <c r="R51" s="77"/>
      <c r="S51" s="77"/>
      <c r="T51" s="95"/>
      <c r="U51" s="95"/>
      <c r="V51" s="95"/>
      <c r="W51" s="77"/>
      <c r="X51" s="77"/>
      <c r="Y51" s="77"/>
      <c r="Z51" s="77"/>
      <c r="AA51" s="77"/>
      <c r="AB51" s="77"/>
      <c r="AC51" s="77"/>
      <c r="AD51" s="77"/>
      <c r="AE51" s="77"/>
      <c r="AF51" s="77"/>
    </row>
    <row r="52" spans="1:32" ht="14.4" customHeight="1" x14ac:dyDescent="0.25">
      <c r="A52" s="77"/>
      <c r="B52" s="77"/>
      <c r="C52" s="77"/>
      <c r="D52" s="77"/>
      <c r="E52" s="77"/>
      <c r="F52" s="77"/>
      <c r="G52" s="77"/>
      <c r="H52" s="77"/>
      <c r="I52" s="77"/>
      <c r="J52" s="90"/>
      <c r="K52" s="91"/>
      <c r="L52" s="91"/>
      <c r="M52" s="77"/>
      <c r="N52" s="77"/>
      <c r="O52" s="77"/>
      <c r="P52" s="77"/>
      <c r="Q52" s="77"/>
      <c r="R52" s="77"/>
      <c r="S52" s="77"/>
      <c r="T52" s="95"/>
      <c r="U52" s="95"/>
      <c r="V52" s="95"/>
      <c r="W52" s="77"/>
      <c r="X52" s="77"/>
      <c r="Y52" s="77"/>
      <c r="Z52" s="77"/>
      <c r="AA52" s="77"/>
      <c r="AB52" s="77"/>
      <c r="AC52" s="77"/>
      <c r="AD52" s="77"/>
      <c r="AE52" s="77"/>
      <c r="AF52" s="77"/>
    </row>
    <row r="53" spans="1:32" ht="14.4" customHeight="1" x14ac:dyDescent="0.25">
      <c r="A53" s="77"/>
      <c r="B53" s="77"/>
      <c r="C53" s="77"/>
      <c r="D53" s="77"/>
      <c r="E53" s="77"/>
      <c r="F53" s="77"/>
      <c r="G53" s="77"/>
      <c r="H53" s="77"/>
      <c r="I53" s="77"/>
      <c r="J53" s="90"/>
      <c r="K53" s="91"/>
      <c r="L53" s="91"/>
      <c r="M53" s="77"/>
      <c r="N53" s="77"/>
      <c r="O53" s="77"/>
      <c r="P53" s="77"/>
      <c r="Q53" s="77"/>
      <c r="R53" s="77"/>
      <c r="S53" s="77"/>
      <c r="T53" s="95"/>
      <c r="U53" s="95"/>
      <c r="V53" s="95"/>
      <c r="W53" s="77"/>
      <c r="X53" s="77"/>
      <c r="Y53" s="77"/>
      <c r="Z53" s="77"/>
      <c r="AA53" s="77"/>
      <c r="AB53" s="77"/>
      <c r="AC53" s="77"/>
      <c r="AD53" s="77"/>
      <c r="AE53" s="77"/>
      <c r="AF53" s="77"/>
    </row>
    <row r="54" spans="1:32" ht="14.4" customHeight="1" x14ac:dyDescent="0.25">
      <c r="A54" s="77"/>
      <c r="B54" s="77"/>
      <c r="C54" s="77"/>
      <c r="D54" s="77"/>
      <c r="E54" s="77"/>
      <c r="F54" s="77"/>
      <c r="G54" s="77"/>
      <c r="H54" s="77"/>
      <c r="I54" s="77"/>
      <c r="J54" s="90"/>
      <c r="K54" s="91"/>
      <c r="L54" s="91"/>
      <c r="M54" s="77"/>
      <c r="N54" s="77"/>
      <c r="O54" s="77"/>
      <c r="P54" s="77"/>
      <c r="Q54" s="77"/>
      <c r="R54" s="77"/>
      <c r="S54" s="77"/>
      <c r="T54" s="95"/>
      <c r="U54" s="95"/>
      <c r="V54" s="95"/>
      <c r="W54" s="77"/>
      <c r="X54" s="77"/>
      <c r="Y54" s="77"/>
      <c r="Z54" s="77"/>
      <c r="AA54" s="77"/>
      <c r="AB54" s="77"/>
      <c r="AC54" s="77"/>
      <c r="AD54" s="77"/>
      <c r="AE54" s="77"/>
      <c r="AF54" s="77"/>
    </row>
    <row r="55" spans="1:32" ht="14.4" customHeight="1" x14ac:dyDescent="0.25">
      <c r="A55" s="77"/>
      <c r="B55" s="77"/>
      <c r="C55" s="77"/>
      <c r="D55" s="77"/>
      <c r="E55" s="77"/>
      <c r="F55" s="77"/>
      <c r="G55" s="77"/>
      <c r="H55" s="77"/>
      <c r="I55" s="77"/>
      <c r="J55" s="90"/>
      <c r="K55" s="91"/>
      <c r="L55" s="91"/>
      <c r="M55" s="77"/>
      <c r="N55" s="77"/>
      <c r="O55" s="77"/>
      <c r="P55" s="77"/>
      <c r="Q55" s="77"/>
      <c r="R55" s="77"/>
      <c r="S55" s="77"/>
      <c r="T55" s="95"/>
      <c r="U55" s="95"/>
      <c r="V55" s="95"/>
      <c r="W55" s="77"/>
      <c r="X55" s="77"/>
      <c r="Y55" s="77"/>
      <c r="Z55" s="77"/>
      <c r="AA55" s="77"/>
      <c r="AB55" s="77"/>
      <c r="AC55" s="77"/>
      <c r="AD55" s="77"/>
      <c r="AE55" s="77"/>
      <c r="AF55" s="77"/>
    </row>
    <row r="56" spans="1:32" ht="14.4" customHeight="1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90"/>
      <c r="K56" s="91"/>
      <c r="L56" s="91"/>
      <c r="M56" s="77"/>
      <c r="N56" s="77"/>
      <c r="O56" s="77"/>
      <c r="P56" s="77"/>
      <c r="Q56" s="77"/>
      <c r="R56" s="77"/>
      <c r="S56" s="77"/>
      <c r="T56" s="95"/>
      <c r="U56" s="95"/>
      <c r="V56" s="95"/>
      <c r="W56" s="77"/>
      <c r="X56" s="77"/>
      <c r="Y56" s="77"/>
      <c r="Z56" s="77"/>
      <c r="AA56" s="77"/>
      <c r="AB56" s="77"/>
      <c r="AC56" s="77"/>
      <c r="AD56" s="77"/>
      <c r="AE56" s="77"/>
      <c r="AF56" s="77"/>
    </row>
    <row r="57" spans="1:32" ht="14.4" customHeight="1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90"/>
      <c r="K57" s="91"/>
      <c r="L57" s="91"/>
      <c r="M57" s="77"/>
      <c r="N57" s="77"/>
      <c r="O57" s="77"/>
      <c r="P57" s="77"/>
      <c r="Q57" s="77"/>
      <c r="R57" s="77"/>
      <c r="S57" s="77"/>
      <c r="T57" s="95"/>
      <c r="U57" s="95"/>
      <c r="V57" s="95"/>
      <c r="W57" s="77"/>
      <c r="X57" s="77"/>
      <c r="Y57" s="77"/>
      <c r="Z57" s="77"/>
      <c r="AA57" s="77"/>
      <c r="AB57" s="77"/>
      <c r="AC57" s="77"/>
      <c r="AD57" s="77"/>
      <c r="AE57" s="77"/>
      <c r="AF57" s="77"/>
    </row>
    <row r="58" spans="1:32" ht="14.4" customHeight="1" x14ac:dyDescent="0.25">
      <c r="A58" s="77"/>
      <c r="B58" s="77"/>
      <c r="C58" s="77"/>
      <c r="D58" s="77"/>
      <c r="E58" s="77"/>
      <c r="F58" s="77"/>
      <c r="G58" s="77"/>
      <c r="H58" s="77"/>
      <c r="I58" s="77"/>
      <c r="J58" s="90"/>
      <c r="K58" s="91"/>
      <c r="L58" s="91"/>
      <c r="M58" s="77"/>
      <c r="N58" s="77"/>
      <c r="O58" s="77"/>
      <c r="P58" s="77"/>
      <c r="Q58" s="77"/>
      <c r="R58" s="77"/>
      <c r="S58" s="77"/>
      <c r="T58" s="95"/>
      <c r="U58" s="95"/>
      <c r="V58" s="95"/>
      <c r="W58" s="77"/>
      <c r="X58" s="77"/>
      <c r="Y58" s="77"/>
      <c r="Z58" s="77"/>
      <c r="AA58" s="77"/>
      <c r="AB58" s="77"/>
      <c r="AC58" s="77"/>
      <c r="AD58" s="77"/>
      <c r="AE58" s="77"/>
      <c r="AF58" s="77"/>
    </row>
    <row r="59" spans="1:32" ht="14.4" customHeight="1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90"/>
      <c r="K59" s="91"/>
      <c r="L59" s="91"/>
      <c r="M59" s="77"/>
      <c r="N59" s="77"/>
      <c r="O59" s="77"/>
      <c r="P59" s="77"/>
      <c r="Q59" s="77"/>
      <c r="R59" s="77"/>
      <c r="S59" s="77"/>
      <c r="T59" s="95"/>
      <c r="U59" s="95"/>
      <c r="V59" s="95"/>
      <c r="W59" s="77"/>
      <c r="X59" s="77"/>
      <c r="Y59" s="77"/>
      <c r="Z59" s="77"/>
      <c r="AA59" s="77"/>
      <c r="AB59" s="77"/>
      <c r="AC59" s="77"/>
      <c r="AD59" s="77"/>
      <c r="AE59" s="77"/>
      <c r="AF59" s="77"/>
    </row>
    <row r="60" spans="1:32" ht="14.4" customHeight="1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90"/>
      <c r="K60" s="91"/>
      <c r="L60" s="91"/>
      <c r="M60" s="77"/>
      <c r="N60" s="77"/>
      <c r="O60" s="77"/>
      <c r="P60" s="77"/>
      <c r="Q60" s="77"/>
      <c r="R60" s="77"/>
      <c r="S60" s="77"/>
      <c r="T60" s="95"/>
      <c r="U60" s="95"/>
      <c r="V60" s="95"/>
      <c r="W60" s="77"/>
      <c r="X60" s="77"/>
      <c r="Y60" s="77"/>
      <c r="Z60" s="77"/>
      <c r="AA60" s="77"/>
      <c r="AB60" s="77"/>
      <c r="AC60" s="77"/>
      <c r="AD60" s="77"/>
      <c r="AE60" s="77"/>
      <c r="AF60" s="77"/>
    </row>
    <row r="61" spans="1:32" ht="14.4" customHeight="1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90"/>
      <c r="K61" s="91"/>
      <c r="L61" s="91"/>
      <c r="M61" s="77"/>
      <c r="N61" s="77"/>
      <c r="O61" s="77"/>
      <c r="P61" s="77"/>
      <c r="Q61" s="77"/>
      <c r="R61" s="77"/>
      <c r="S61" s="77"/>
      <c r="T61" s="95"/>
      <c r="U61" s="95"/>
      <c r="V61" s="95"/>
      <c r="W61" s="77"/>
      <c r="X61" s="77"/>
      <c r="Y61" s="77"/>
      <c r="Z61" s="77"/>
      <c r="AA61" s="77"/>
      <c r="AB61" s="77"/>
      <c r="AC61" s="77"/>
      <c r="AD61" s="77"/>
      <c r="AE61" s="77"/>
      <c r="AF61" s="77"/>
    </row>
    <row r="62" spans="1:32" ht="14.4" customHeight="1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90"/>
      <c r="K62" s="91"/>
      <c r="L62" s="91"/>
      <c r="M62" s="77"/>
      <c r="N62" s="77"/>
      <c r="O62" s="77"/>
      <c r="P62" s="77"/>
      <c r="Q62" s="77"/>
      <c r="R62" s="77"/>
      <c r="S62" s="77"/>
      <c r="T62" s="95"/>
      <c r="U62" s="95"/>
      <c r="V62" s="95"/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 spans="1:32" ht="14.4" customHeight="1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90"/>
      <c r="K63" s="91"/>
      <c r="L63" s="91"/>
      <c r="M63" s="77"/>
      <c r="N63" s="77"/>
      <c r="O63" s="77"/>
      <c r="P63" s="77"/>
      <c r="Q63" s="77"/>
      <c r="R63" s="77"/>
      <c r="S63" s="77"/>
      <c r="T63" s="95"/>
      <c r="U63" s="95"/>
      <c r="V63" s="95"/>
      <c r="W63" s="77"/>
      <c r="X63" s="77"/>
      <c r="Y63" s="77"/>
      <c r="Z63" s="77"/>
      <c r="AA63" s="77"/>
      <c r="AB63" s="77"/>
      <c r="AC63" s="77"/>
      <c r="AD63" s="77"/>
      <c r="AE63" s="77"/>
      <c r="AF63" s="77"/>
    </row>
    <row r="64" spans="1:32" ht="14.4" customHeight="1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90"/>
      <c r="K64" s="91"/>
      <c r="L64" s="91"/>
      <c r="M64" s="77"/>
      <c r="N64" s="77"/>
      <c r="O64" s="77"/>
      <c r="P64" s="77"/>
      <c r="Q64" s="77"/>
      <c r="R64" s="77"/>
      <c r="S64" s="77"/>
      <c r="T64" s="95"/>
      <c r="U64" s="95"/>
      <c r="V64" s="95"/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 spans="1:32" ht="14.4" customHeight="1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90"/>
      <c r="K65" s="91"/>
      <c r="L65" s="91"/>
      <c r="M65" s="77"/>
      <c r="N65" s="77"/>
      <c r="O65" s="77"/>
      <c r="P65" s="77"/>
      <c r="Q65" s="77"/>
      <c r="R65" s="77"/>
      <c r="S65" s="77"/>
      <c r="T65" s="95"/>
      <c r="U65" s="95"/>
      <c r="V65" s="95"/>
      <c r="W65" s="77"/>
      <c r="X65" s="77"/>
      <c r="Y65" s="77"/>
      <c r="Z65" s="77"/>
      <c r="AA65" s="77"/>
      <c r="AB65" s="77"/>
      <c r="AC65" s="77"/>
      <c r="AD65" s="77"/>
      <c r="AE65" s="77"/>
      <c r="AF65" s="77"/>
    </row>
    <row r="66" spans="1:32" ht="14.4" customHeight="1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90"/>
      <c r="K66" s="91"/>
      <c r="L66" s="91"/>
      <c r="M66" s="77"/>
      <c r="N66" s="77"/>
      <c r="O66" s="77"/>
      <c r="P66" s="77"/>
      <c r="Q66" s="77"/>
      <c r="R66" s="77"/>
      <c r="S66" s="77"/>
      <c r="T66" s="95"/>
      <c r="U66" s="95"/>
      <c r="V66" s="95"/>
      <c r="W66" s="77"/>
      <c r="X66" s="77"/>
      <c r="Y66" s="77"/>
      <c r="Z66" s="77"/>
      <c r="AA66" s="77"/>
      <c r="AB66" s="77"/>
      <c r="AC66" s="77"/>
      <c r="AD66" s="77"/>
      <c r="AE66" s="77"/>
      <c r="AF66" s="77"/>
    </row>
    <row r="67" spans="1:32" ht="14.4" customHeight="1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90"/>
      <c r="K67" s="91"/>
      <c r="L67" s="91"/>
      <c r="M67" s="77"/>
      <c r="N67" s="77"/>
      <c r="O67" s="77"/>
      <c r="P67" s="77"/>
      <c r="Q67" s="77"/>
      <c r="R67" s="77"/>
      <c r="S67" s="77"/>
      <c r="T67" s="95"/>
      <c r="U67" s="95"/>
      <c r="V67" s="95"/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 spans="1:32" ht="14.4" customHeight="1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90"/>
      <c r="K68" s="91"/>
      <c r="L68" s="91"/>
      <c r="M68" s="77"/>
      <c r="N68" s="77"/>
      <c r="O68" s="77"/>
      <c r="P68" s="77"/>
      <c r="Q68" s="77"/>
      <c r="R68" s="77"/>
      <c r="S68" s="77"/>
      <c r="T68" s="95"/>
      <c r="U68" s="95"/>
      <c r="V68" s="95"/>
      <c r="W68" s="77"/>
      <c r="X68" s="77"/>
      <c r="Y68" s="77"/>
      <c r="Z68" s="77"/>
      <c r="AA68" s="77"/>
      <c r="AB68" s="77"/>
      <c r="AC68" s="77"/>
      <c r="AD68" s="77"/>
      <c r="AE68" s="77"/>
      <c r="AF68" s="77"/>
    </row>
    <row r="69" spans="1:32" ht="14.4" customHeight="1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90"/>
      <c r="K69" s="91"/>
      <c r="L69" s="91"/>
      <c r="M69" s="77"/>
      <c r="N69" s="77"/>
      <c r="O69" s="77"/>
      <c r="P69" s="77"/>
      <c r="Q69" s="77"/>
      <c r="R69" s="77"/>
      <c r="S69" s="77"/>
      <c r="T69" s="95"/>
      <c r="U69" s="95"/>
      <c r="V69" s="95"/>
      <c r="W69" s="77"/>
      <c r="X69" s="77"/>
      <c r="Y69" s="77"/>
      <c r="Z69" s="77"/>
      <c r="AA69" s="77"/>
      <c r="AB69" s="77"/>
      <c r="AC69" s="77"/>
      <c r="AD69" s="77"/>
      <c r="AE69" s="77"/>
      <c r="AF69" s="77"/>
    </row>
    <row r="70" spans="1:32" ht="14.4" customHeight="1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90"/>
      <c r="K70" s="91"/>
      <c r="L70" s="91"/>
      <c r="M70" s="77"/>
      <c r="N70" s="77"/>
      <c r="O70" s="77"/>
      <c r="P70" s="77"/>
      <c r="Q70" s="77"/>
      <c r="R70" s="77"/>
      <c r="S70" s="77"/>
      <c r="T70" s="95"/>
      <c r="U70" s="95"/>
      <c r="V70" s="95"/>
      <c r="W70" s="77"/>
      <c r="X70" s="77"/>
      <c r="Y70" s="77"/>
      <c r="Z70" s="77"/>
      <c r="AA70" s="77"/>
      <c r="AB70" s="77"/>
      <c r="AC70" s="77"/>
      <c r="AD70" s="77"/>
      <c r="AE70" s="77"/>
      <c r="AF70" s="77"/>
    </row>
    <row r="71" spans="1:32" ht="14.4" customHeight="1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90"/>
      <c r="K71" s="91"/>
      <c r="L71" s="91"/>
      <c r="M71" s="77"/>
      <c r="N71" s="77"/>
      <c r="O71" s="77"/>
      <c r="P71" s="77"/>
      <c r="Q71" s="77"/>
      <c r="R71" s="77"/>
      <c r="S71" s="77"/>
      <c r="T71" s="95"/>
      <c r="U71" s="95"/>
      <c r="V71" s="95"/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 spans="1:32" ht="14.4" customHeight="1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90"/>
      <c r="K72" s="91"/>
      <c r="L72" s="91"/>
      <c r="M72" s="77"/>
      <c r="N72" s="77"/>
      <c r="O72" s="77"/>
      <c r="P72" s="77"/>
      <c r="Q72" s="77"/>
      <c r="R72" s="77"/>
      <c r="S72" s="77"/>
      <c r="T72" s="95"/>
      <c r="U72" s="95"/>
      <c r="V72" s="95"/>
      <c r="W72" s="77"/>
      <c r="X72" s="77"/>
      <c r="Y72" s="77"/>
      <c r="Z72" s="77"/>
      <c r="AA72" s="77"/>
      <c r="AB72" s="77"/>
      <c r="AC72" s="77"/>
      <c r="AD72" s="77"/>
      <c r="AE72" s="77"/>
      <c r="AF72" s="77"/>
    </row>
    <row r="73" spans="1:32" ht="14.4" customHeight="1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90"/>
      <c r="K73" s="91"/>
      <c r="L73" s="91"/>
      <c r="M73" s="77"/>
      <c r="N73" s="77"/>
      <c r="O73" s="77"/>
      <c r="P73" s="77"/>
      <c r="Q73" s="77"/>
      <c r="R73" s="77"/>
      <c r="S73" s="77"/>
      <c r="T73" s="95"/>
      <c r="U73" s="95"/>
      <c r="V73" s="95"/>
      <c r="W73" s="77"/>
      <c r="X73" s="77"/>
      <c r="Y73" s="77"/>
      <c r="Z73" s="77"/>
      <c r="AA73" s="77"/>
      <c r="AB73" s="77"/>
      <c r="AC73" s="77"/>
      <c r="AD73" s="77"/>
      <c r="AE73" s="77"/>
      <c r="AF73" s="77"/>
    </row>
    <row r="74" spans="1:32" ht="14.4" customHeight="1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90"/>
      <c r="K74" s="91"/>
      <c r="L74" s="91"/>
      <c r="M74" s="77"/>
      <c r="N74" s="77"/>
      <c r="O74" s="77"/>
      <c r="P74" s="77"/>
      <c r="Q74" s="77"/>
      <c r="R74" s="77"/>
      <c r="S74" s="77"/>
      <c r="T74" s="95"/>
      <c r="U74" s="95"/>
      <c r="V74" s="95"/>
      <c r="W74" s="77"/>
      <c r="X74" s="77"/>
      <c r="Y74" s="77"/>
      <c r="Z74" s="77"/>
      <c r="AA74" s="77"/>
      <c r="AB74" s="77"/>
      <c r="AC74" s="77"/>
      <c r="AD74" s="77"/>
      <c r="AE74" s="77"/>
      <c r="AF74" s="77"/>
    </row>
    <row r="75" spans="1:32" ht="14.4" customHeight="1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90"/>
      <c r="K75" s="91"/>
      <c r="L75" s="91"/>
      <c r="M75" s="77"/>
      <c r="N75" s="77"/>
      <c r="O75" s="77"/>
      <c r="P75" s="77"/>
      <c r="Q75" s="77"/>
      <c r="R75" s="77"/>
      <c r="S75" s="77"/>
      <c r="T75" s="95"/>
      <c r="U75" s="95"/>
      <c r="V75" s="95"/>
      <c r="W75" s="77"/>
      <c r="X75" s="77"/>
      <c r="Y75" s="77"/>
      <c r="Z75" s="77"/>
      <c r="AA75" s="77"/>
      <c r="AB75" s="77"/>
      <c r="AC75" s="77"/>
      <c r="AD75" s="77"/>
      <c r="AE75" s="77"/>
      <c r="AF75" s="77"/>
    </row>
    <row r="76" spans="1:32" ht="14.4" customHeight="1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90"/>
      <c r="K76" s="91"/>
      <c r="L76" s="91"/>
      <c r="M76" s="77"/>
      <c r="N76" s="77"/>
      <c r="O76" s="77"/>
      <c r="P76" s="77"/>
      <c r="Q76" s="77"/>
      <c r="R76" s="77"/>
      <c r="S76" s="77"/>
      <c r="T76" s="95"/>
      <c r="U76" s="95"/>
      <c r="V76" s="95"/>
      <c r="W76" s="77"/>
      <c r="X76" s="77"/>
      <c r="Y76" s="77"/>
      <c r="Z76" s="77"/>
      <c r="AA76" s="77"/>
      <c r="AB76" s="77"/>
      <c r="AC76" s="77"/>
      <c r="AD76" s="77"/>
      <c r="AE76" s="77"/>
      <c r="AF76" s="77"/>
    </row>
    <row r="77" spans="1:32" ht="14.4" customHeight="1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90"/>
      <c r="K77" s="91"/>
      <c r="L77" s="91"/>
      <c r="M77" s="77"/>
      <c r="N77" s="77"/>
      <c r="O77" s="77"/>
      <c r="P77" s="77"/>
      <c r="Q77" s="77"/>
      <c r="R77" s="77"/>
      <c r="S77" s="77"/>
      <c r="T77" s="95"/>
      <c r="U77" s="95"/>
      <c r="V77" s="95"/>
      <c r="W77" s="77"/>
      <c r="X77" s="77"/>
      <c r="Y77" s="77"/>
      <c r="Z77" s="77"/>
      <c r="AA77" s="77"/>
      <c r="AB77" s="77"/>
      <c r="AC77" s="77"/>
      <c r="AD77" s="77"/>
      <c r="AE77" s="77"/>
      <c r="AF77" s="77"/>
    </row>
    <row r="78" spans="1:32" ht="14.4" customHeight="1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90"/>
      <c r="K78" s="91"/>
      <c r="L78" s="91"/>
      <c r="M78" s="77"/>
      <c r="N78" s="77"/>
      <c r="O78" s="77"/>
      <c r="P78" s="77"/>
      <c r="Q78" s="77"/>
      <c r="R78" s="77"/>
      <c r="S78" s="77"/>
      <c r="T78" s="95"/>
      <c r="U78" s="95"/>
      <c r="V78" s="95"/>
      <c r="W78" s="77"/>
      <c r="X78" s="77"/>
      <c r="Y78" s="77"/>
      <c r="Z78" s="77"/>
      <c r="AA78" s="77"/>
      <c r="AB78" s="77"/>
      <c r="AC78" s="77"/>
      <c r="AD78" s="77"/>
      <c r="AE78" s="77"/>
      <c r="AF78" s="77"/>
    </row>
    <row r="79" spans="1:32" ht="14.4" customHeight="1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90"/>
      <c r="K79" s="91"/>
      <c r="L79" s="91"/>
      <c r="M79" s="77"/>
      <c r="N79" s="77"/>
      <c r="O79" s="77"/>
      <c r="P79" s="77"/>
      <c r="Q79" s="77"/>
      <c r="R79" s="77"/>
      <c r="S79" s="77"/>
      <c r="T79" s="95"/>
      <c r="U79" s="95"/>
      <c r="V79" s="95"/>
      <c r="W79" s="77"/>
      <c r="X79" s="77"/>
      <c r="Y79" s="77"/>
      <c r="Z79" s="77"/>
      <c r="AA79" s="77"/>
      <c r="AB79" s="77"/>
      <c r="AC79" s="77"/>
      <c r="AD79" s="77"/>
      <c r="AE79" s="77"/>
      <c r="AF79" s="77"/>
    </row>
    <row r="80" spans="1:32" ht="12" customHeight="1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90"/>
      <c r="K80" s="91"/>
      <c r="L80" s="91"/>
      <c r="M80" s="77"/>
      <c r="N80" s="77"/>
      <c r="O80" s="77"/>
      <c r="P80" s="77"/>
      <c r="Q80" s="77"/>
      <c r="R80" s="77"/>
      <c r="S80" s="77"/>
      <c r="T80" s="95"/>
      <c r="U80" s="95"/>
      <c r="V80" s="95"/>
      <c r="W80" s="77"/>
      <c r="X80" s="77"/>
      <c r="Y80" s="77"/>
      <c r="Z80" s="77"/>
      <c r="AA80" s="77"/>
      <c r="AB80" s="77"/>
      <c r="AC80" s="77"/>
      <c r="AD80" s="77"/>
      <c r="AE80" s="77"/>
      <c r="AF80" s="77"/>
    </row>
    <row r="81" spans="1:32" ht="12" customHeight="1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90"/>
      <c r="K81" s="91"/>
      <c r="L81" s="91"/>
      <c r="M81" s="77"/>
      <c r="N81" s="77"/>
      <c r="O81" s="77"/>
      <c r="P81" s="77"/>
      <c r="Q81" s="77"/>
      <c r="R81" s="77"/>
      <c r="S81" s="77"/>
      <c r="T81" s="95"/>
      <c r="U81" s="95"/>
      <c r="V81" s="95"/>
      <c r="W81" s="77"/>
      <c r="X81" s="77"/>
      <c r="Y81" s="77"/>
      <c r="Z81" s="77"/>
      <c r="AA81" s="77"/>
      <c r="AB81" s="77"/>
      <c r="AC81" s="77"/>
      <c r="AD81" s="77"/>
      <c r="AE81" s="77"/>
      <c r="AF81" s="77"/>
    </row>
    <row r="82" spans="1:32" ht="12" customHeight="1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90"/>
      <c r="K82" s="91"/>
      <c r="L82" s="91"/>
      <c r="M82" s="77"/>
      <c r="N82" s="77"/>
      <c r="O82" s="77"/>
      <c r="P82" s="77"/>
      <c r="Q82" s="77"/>
      <c r="R82" s="77"/>
      <c r="S82" s="77"/>
      <c r="T82" s="95"/>
      <c r="U82" s="95"/>
      <c r="V82" s="95"/>
      <c r="W82" s="77"/>
      <c r="X82" s="77"/>
      <c r="Y82" s="77"/>
      <c r="Z82" s="77"/>
      <c r="AA82" s="77"/>
      <c r="AB82" s="77"/>
      <c r="AC82" s="77"/>
      <c r="AD82" s="77"/>
      <c r="AE82" s="77"/>
      <c r="AF82" s="77"/>
    </row>
    <row r="83" spans="1:32" ht="12" customHeight="1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90"/>
      <c r="K83" s="91"/>
      <c r="L83" s="91"/>
      <c r="M83" s="77"/>
      <c r="N83" s="77"/>
      <c r="O83" s="77"/>
      <c r="P83" s="77"/>
      <c r="Q83" s="77"/>
      <c r="R83" s="77"/>
      <c r="S83" s="77"/>
      <c r="T83" s="95"/>
      <c r="U83" s="95"/>
      <c r="V83" s="95"/>
      <c r="W83" s="77"/>
      <c r="X83" s="77"/>
      <c r="Y83" s="77"/>
      <c r="Z83" s="77"/>
      <c r="AA83" s="77"/>
      <c r="AB83" s="77"/>
      <c r="AC83" s="77"/>
      <c r="AD83" s="77"/>
      <c r="AE83" s="77"/>
      <c r="AF83" s="77"/>
    </row>
    <row r="84" spans="1:32" ht="12" customHeight="1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90"/>
      <c r="K84" s="91"/>
      <c r="L84" s="91"/>
      <c r="M84" s="77"/>
      <c r="N84" s="77"/>
      <c r="O84" s="77"/>
      <c r="P84" s="77"/>
      <c r="Q84" s="77"/>
      <c r="R84" s="77"/>
      <c r="S84" s="77"/>
      <c r="T84" s="95"/>
      <c r="U84" s="95"/>
      <c r="V84" s="95"/>
      <c r="W84" s="77"/>
      <c r="X84" s="77"/>
      <c r="Y84" s="77"/>
      <c r="Z84" s="77"/>
      <c r="AA84" s="77"/>
      <c r="AB84" s="77"/>
      <c r="AC84" s="77"/>
      <c r="AD84" s="77"/>
      <c r="AE84" s="77"/>
      <c r="AF84" s="77"/>
    </row>
    <row r="85" spans="1:32" ht="14.4" customHeight="1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90"/>
      <c r="K85" s="91"/>
      <c r="L85" s="91"/>
      <c r="M85" s="77"/>
      <c r="N85" s="77"/>
      <c r="O85" s="77"/>
      <c r="P85" s="77"/>
      <c r="Q85" s="77"/>
      <c r="R85" s="77"/>
      <c r="S85" s="77"/>
      <c r="T85" s="95"/>
      <c r="U85" s="95"/>
      <c r="V85" s="95"/>
      <c r="W85" s="77"/>
      <c r="X85" s="77"/>
      <c r="Y85" s="77"/>
      <c r="Z85" s="77"/>
      <c r="AA85" s="77"/>
      <c r="AB85" s="77"/>
      <c r="AC85" s="77"/>
      <c r="AD85" s="77"/>
      <c r="AE85" s="77"/>
      <c r="AF85" s="77"/>
    </row>
    <row r="86" spans="1:32" ht="14.4" customHeight="1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90"/>
      <c r="K86" s="91"/>
      <c r="L86" s="91"/>
      <c r="M86" s="77"/>
      <c r="N86" s="77"/>
      <c r="O86" s="77"/>
      <c r="P86" s="77"/>
      <c r="Q86" s="77"/>
      <c r="R86" s="77"/>
      <c r="S86" s="77"/>
      <c r="T86" s="95"/>
      <c r="U86" s="95"/>
      <c r="V86" s="95"/>
      <c r="W86" s="77"/>
      <c r="X86" s="77"/>
      <c r="Y86" s="77"/>
      <c r="Z86" s="77"/>
      <c r="AA86" s="77"/>
      <c r="AB86" s="77"/>
      <c r="AC86" s="77"/>
      <c r="AD86" s="77"/>
      <c r="AE86" s="77"/>
      <c r="AF86" s="77"/>
    </row>
    <row r="87" spans="1:32" ht="14.4" customHeight="1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90"/>
      <c r="K87" s="91"/>
      <c r="L87" s="91"/>
      <c r="M87" s="77"/>
      <c r="N87" s="77"/>
      <c r="O87" s="77"/>
      <c r="P87" s="77"/>
      <c r="Q87" s="77"/>
      <c r="R87" s="77"/>
      <c r="S87" s="77"/>
      <c r="T87" s="95"/>
      <c r="U87" s="95"/>
      <c r="V87" s="95"/>
      <c r="W87" s="77"/>
      <c r="X87" s="77"/>
      <c r="Y87" s="77"/>
      <c r="Z87" s="77"/>
      <c r="AA87" s="77"/>
      <c r="AB87" s="77"/>
      <c r="AC87" s="77"/>
      <c r="AD87" s="77"/>
      <c r="AE87" s="77"/>
      <c r="AF87" s="77"/>
    </row>
    <row r="88" spans="1:32" ht="14.4" customHeight="1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90"/>
      <c r="K88" s="91"/>
      <c r="L88" s="91"/>
      <c r="M88" s="77"/>
      <c r="N88" s="77"/>
      <c r="O88" s="77"/>
      <c r="P88" s="77"/>
      <c r="Q88" s="77"/>
      <c r="R88" s="77"/>
      <c r="S88" s="77"/>
      <c r="T88" s="95"/>
      <c r="U88" s="95"/>
      <c r="V88" s="95"/>
      <c r="W88" s="77"/>
      <c r="X88" s="77"/>
      <c r="Y88" s="77"/>
      <c r="Z88" s="77"/>
      <c r="AA88" s="77"/>
      <c r="AB88" s="77"/>
      <c r="AC88" s="77"/>
      <c r="AD88" s="77"/>
      <c r="AE88" s="77"/>
      <c r="AF88" s="77"/>
    </row>
    <row r="89" spans="1:32" ht="14.4" customHeight="1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90"/>
      <c r="K89" s="91"/>
      <c r="L89" s="91"/>
      <c r="M89" s="77"/>
      <c r="N89" s="77"/>
      <c r="O89" s="77"/>
      <c r="P89" s="77"/>
      <c r="Q89" s="77"/>
      <c r="R89" s="77"/>
      <c r="S89" s="77"/>
      <c r="T89" s="95"/>
      <c r="U89" s="95"/>
      <c r="V89" s="95"/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 spans="1:32" ht="14.4" customHeight="1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90"/>
      <c r="K90" s="91"/>
      <c r="L90" s="91"/>
      <c r="M90" s="77"/>
      <c r="N90" s="77"/>
      <c r="O90" s="77"/>
      <c r="P90" s="77"/>
      <c r="Q90" s="77"/>
      <c r="R90" s="77"/>
      <c r="S90" s="77"/>
      <c r="T90" s="95"/>
      <c r="U90" s="95"/>
      <c r="V90" s="95"/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 spans="1:32" ht="14.4" customHeight="1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90"/>
      <c r="K91" s="91"/>
      <c r="L91" s="91"/>
      <c r="M91" s="77"/>
      <c r="N91" s="77"/>
      <c r="O91" s="77"/>
      <c r="P91" s="77"/>
      <c r="Q91" s="77"/>
      <c r="R91" s="77"/>
      <c r="S91" s="77"/>
      <c r="T91" s="95"/>
      <c r="U91" s="95"/>
      <c r="V91" s="95"/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 spans="1:32" ht="14.4" customHeight="1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90"/>
      <c r="K92" s="91"/>
      <c r="L92" s="91"/>
      <c r="M92" s="77"/>
      <c r="N92" s="77"/>
      <c r="O92" s="77"/>
      <c r="P92" s="77"/>
      <c r="Q92" s="77"/>
      <c r="R92" s="77"/>
      <c r="S92" s="77"/>
      <c r="T92" s="95"/>
      <c r="U92" s="95"/>
      <c r="V92" s="95"/>
      <c r="W92" s="77"/>
      <c r="X92" s="77"/>
      <c r="Y92" s="77"/>
      <c r="Z92" s="77"/>
      <c r="AA92" s="77"/>
      <c r="AB92" s="77"/>
      <c r="AC92" s="77"/>
      <c r="AD92" s="77"/>
      <c r="AE92" s="77"/>
      <c r="AF92" s="77"/>
    </row>
    <row r="93" spans="1:32" ht="14.4" customHeight="1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90"/>
      <c r="K93" s="91"/>
      <c r="L93" s="91"/>
      <c r="M93" s="77"/>
      <c r="N93" s="77"/>
      <c r="O93" s="77"/>
      <c r="P93" s="77"/>
      <c r="Q93" s="77"/>
      <c r="R93" s="77"/>
      <c r="S93" s="77"/>
      <c r="T93" s="95"/>
      <c r="U93" s="95"/>
      <c r="V93" s="95"/>
      <c r="W93" s="77"/>
      <c r="X93" s="77"/>
      <c r="Y93" s="77"/>
      <c r="Z93" s="77"/>
      <c r="AA93" s="77"/>
      <c r="AB93" s="77"/>
      <c r="AC93" s="77"/>
      <c r="AD93" s="77"/>
      <c r="AE93" s="77"/>
      <c r="AF93" s="77"/>
    </row>
    <row r="94" spans="1:32" ht="12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90"/>
      <c r="K94" s="91"/>
      <c r="L94" s="91"/>
      <c r="M94" s="77"/>
      <c r="N94" s="77"/>
      <c r="O94" s="77"/>
      <c r="P94" s="77"/>
      <c r="Q94" s="77"/>
      <c r="R94" s="77"/>
      <c r="S94" s="77"/>
      <c r="T94" s="95"/>
      <c r="U94" s="95"/>
      <c r="V94" s="95"/>
      <c r="W94" s="77"/>
      <c r="X94" s="77"/>
      <c r="Y94" s="77"/>
      <c r="Z94" s="77"/>
      <c r="AA94" s="77"/>
      <c r="AB94" s="77"/>
      <c r="AC94" s="77"/>
      <c r="AD94" s="77"/>
      <c r="AE94" s="77"/>
      <c r="AF94" s="77"/>
    </row>
    <row r="95" spans="1:32" ht="12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90"/>
      <c r="K95" s="91"/>
      <c r="L95" s="91"/>
      <c r="M95" s="77"/>
      <c r="N95" s="77"/>
      <c r="O95" s="77"/>
      <c r="P95" s="77"/>
      <c r="Q95" s="77"/>
      <c r="R95" s="77"/>
      <c r="S95" s="77"/>
      <c r="T95" s="95"/>
      <c r="U95" s="95"/>
      <c r="V95" s="95"/>
      <c r="W95" s="77"/>
      <c r="X95" s="77"/>
      <c r="Y95" s="77"/>
      <c r="Z95" s="77"/>
      <c r="AA95" s="77"/>
      <c r="AB95" s="77"/>
      <c r="AC95" s="77"/>
      <c r="AD95" s="77"/>
      <c r="AE95" s="77"/>
      <c r="AF95" s="77"/>
    </row>
    <row r="96" spans="1:32" ht="14.4" customHeigh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90"/>
      <c r="K96" s="91"/>
      <c r="L96" s="91"/>
      <c r="M96" s="77"/>
      <c r="N96" s="77"/>
      <c r="O96" s="77"/>
      <c r="P96" s="77"/>
      <c r="Q96" s="77"/>
      <c r="R96" s="77"/>
      <c r="S96" s="77"/>
      <c r="T96" s="95"/>
      <c r="U96" s="95"/>
      <c r="V96" s="95"/>
      <c r="W96" s="77"/>
      <c r="X96" s="77"/>
      <c r="Y96" s="77"/>
      <c r="Z96" s="77"/>
      <c r="AA96" s="77"/>
      <c r="AB96" s="77"/>
      <c r="AC96" s="77"/>
      <c r="AD96" s="77"/>
      <c r="AE96" s="77"/>
      <c r="AF96" s="77"/>
    </row>
    <row r="97" spans="1:32" ht="14.4" customHeight="1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90"/>
      <c r="K97" s="91"/>
      <c r="L97" s="91"/>
      <c r="M97" s="77"/>
      <c r="N97" s="77"/>
      <c r="O97" s="77"/>
      <c r="P97" s="77"/>
      <c r="Q97" s="77"/>
      <c r="R97" s="77"/>
      <c r="S97" s="77"/>
      <c r="T97" s="95"/>
      <c r="U97" s="95"/>
      <c r="V97" s="95"/>
      <c r="W97" s="77"/>
      <c r="X97" s="77"/>
      <c r="Y97" s="77"/>
      <c r="Z97" s="77"/>
      <c r="AA97" s="77"/>
      <c r="AB97" s="77"/>
      <c r="AC97" s="77"/>
      <c r="AD97" s="77"/>
      <c r="AE97" s="77"/>
      <c r="AF97" s="77"/>
    </row>
    <row r="98" spans="1:32" ht="14.4" customHeight="1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90"/>
      <c r="K98" s="91"/>
      <c r="L98" s="91"/>
      <c r="M98" s="77"/>
      <c r="N98" s="77"/>
      <c r="O98" s="77"/>
      <c r="P98" s="77"/>
      <c r="Q98" s="77"/>
      <c r="R98" s="77"/>
      <c r="S98" s="77"/>
      <c r="T98" s="95"/>
      <c r="U98" s="95"/>
      <c r="V98" s="95"/>
      <c r="W98" s="77"/>
      <c r="X98" s="77"/>
      <c r="Y98" s="77"/>
      <c r="Z98" s="77"/>
      <c r="AA98" s="77"/>
      <c r="AB98" s="77"/>
      <c r="AC98" s="77"/>
      <c r="AD98" s="77"/>
      <c r="AE98" s="77"/>
      <c r="AF98" s="77"/>
    </row>
    <row r="99" spans="1:32" ht="14.4" customHeight="1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90"/>
      <c r="K99" s="91"/>
      <c r="L99" s="91"/>
      <c r="M99" s="77"/>
      <c r="N99" s="77"/>
      <c r="O99" s="77"/>
      <c r="P99" s="77"/>
      <c r="Q99" s="77"/>
      <c r="R99" s="77"/>
      <c r="S99" s="77"/>
      <c r="T99" s="95"/>
      <c r="U99" s="95"/>
      <c r="V99" s="95"/>
      <c r="W99" s="77"/>
      <c r="X99" s="77"/>
      <c r="Y99" s="77"/>
      <c r="Z99" s="77"/>
      <c r="AA99" s="77"/>
      <c r="AB99" s="77"/>
      <c r="AC99" s="77"/>
      <c r="AD99" s="77"/>
      <c r="AE99" s="77"/>
      <c r="AF99" s="77"/>
    </row>
    <row r="100" spans="1:32" ht="14.4" customHeight="1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90"/>
      <c r="K100" s="91"/>
      <c r="L100" s="91"/>
      <c r="M100" s="77"/>
      <c r="N100" s="77"/>
      <c r="O100" s="77"/>
      <c r="P100" s="77"/>
      <c r="Q100" s="77"/>
      <c r="R100" s="77"/>
      <c r="S100" s="77"/>
      <c r="T100" s="95"/>
      <c r="U100" s="95"/>
      <c r="V100" s="95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</row>
    <row r="101" spans="1:32" ht="14.4" customHeight="1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90"/>
      <c r="K101" s="91"/>
      <c r="L101" s="91"/>
      <c r="M101" s="77"/>
      <c r="N101" s="77"/>
      <c r="O101" s="77"/>
      <c r="P101" s="77"/>
      <c r="Q101" s="77"/>
      <c r="R101" s="77"/>
      <c r="S101" s="77"/>
      <c r="T101" s="95"/>
      <c r="U101" s="95"/>
      <c r="V101" s="95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 spans="1:32" ht="14.4" customHeight="1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90"/>
      <c r="K102" s="91"/>
      <c r="L102" s="91"/>
      <c r="M102" s="77"/>
      <c r="N102" s="77"/>
      <c r="O102" s="77"/>
      <c r="P102" s="77"/>
      <c r="Q102" s="77"/>
      <c r="R102" s="77"/>
      <c r="S102" s="77"/>
      <c r="T102" s="95"/>
      <c r="U102" s="95"/>
      <c r="V102" s="95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 spans="1:32" ht="14.4" customHeight="1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90"/>
      <c r="K103" s="91"/>
      <c r="L103" s="91"/>
      <c r="M103" s="77"/>
      <c r="N103" s="77"/>
      <c r="O103" s="77"/>
      <c r="P103" s="77"/>
      <c r="Q103" s="77"/>
      <c r="R103" s="77"/>
      <c r="S103" s="77"/>
      <c r="T103" s="95"/>
      <c r="U103" s="95"/>
      <c r="V103" s="95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</row>
    <row r="104" spans="1:32" ht="14.4" customHeight="1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90"/>
      <c r="K104" s="91"/>
      <c r="L104" s="91"/>
      <c r="M104" s="77"/>
      <c r="N104" s="77"/>
      <c r="O104" s="77"/>
      <c r="P104" s="77"/>
      <c r="Q104" s="77"/>
      <c r="R104" s="77"/>
      <c r="S104" s="77"/>
      <c r="T104" s="95"/>
      <c r="U104" s="95"/>
      <c r="V104" s="95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 spans="1:32" ht="14.4" customHeight="1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90"/>
      <c r="K105" s="91"/>
      <c r="L105" s="91"/>
      <c r="M105" s="77"/>
      <c r="N105" s="77"/>
      <c r="O105" s="77"/>
      <c r="P105" s="77"/>
      <c r="Q105" s="77"/>
      <c r="R105" s="77"/>
      <c r="S105" s="77"/>
      <c r="T105" s="95"/>
      <c r="U105" s="95"/>
      <c r="V105" s="95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 spans="1:32" ht="14.4" customHeight="1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90"/>
      <c r="K106" s="91"/>
      <c r="L106" s="91"/>
      <c r="M106" s="77"/>
      <c r="N106" s="77"/>
      <c r="O106" s="77"/>
      <c r="P106" s="77"/>
      <c r="Q106" s="77"/>
      <c r="R106" s="77"/>
      <c r="S106" s="77"/>
      <c r="T106" s="95"/>
      <c r="U106" s="95"/>
      <c r="V106" s="95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 spans="1:32" ht="14.4" customHeight="1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90"/>
      <c r="K107" s="91"/>
      <c r="L107" s="91"/>
      <c r="M107" s="77"/>
      <c r="N107" s="77"/>
      <c r="O107" s="77"/>
      <c r="P107" s="77"/>
      <c r="Q107" s="77"/>
      <c r="R107" s="77"/>
      <c r="S107" s="77"/>
      <c r="T107" s="95"/>
      <c r="U107" s="95"/>
      <c r="V107" s="95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 spans="1:32" ht="14.4" customHeight="1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90"/>
      <c r="K108" s="91"/>
      <c r="L108" s="91"/>
      <c r="M108" s="77"/>
      <c r="N108" s="77"/>
      <c r="O108" s="77"/>
      <c r="P108" s="77"/>
      <c r="Q108" s="77"/>
      <c r="R108" s="77"/>
      <c r="S108" s="77"/>
      <c r="T108" s="95"/>
      <c r="U108" s="95"/>
      <c r="V108" s="95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 spans="1:32" ht="14.4" customHeight="1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90"/>
      <c r="K109" s="91"/>
      <c r="L109" s="91"/>
      <c r="M109" s="77"/>
      <c r="N109" s="77"/>
      <c r="O109" s="77"/>
      <c r="P109" s="77"/>
      <c r="Q109" s="77"/>
      <c r="R109" s="77"/>
      <c r="S109" s="77"/>
      <c r="T109" s="95"/>
      <c r="U109" s="95"/>
      <c r="V109" s="95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 spans="1:32" ht="14.4" customHeight="1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90"/>
      <c r="K110" s="91"/>
      <c r="L110" s="91"/>
      <c r="M110" s="77"/>
      <c r="N110" s="77"/>
      <c r="O110" s="77"/>
      <c r="P110" s="77"/>
      <c r="Q110" s="77"/>
      <c r="R110" s="77"/>
      <c r="S110" s="77"/>
      <c r="T110" s="95"/>
      <c r="U110" s="95"/>
      <c r="V110" s="95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 spans="1:32" ht="14.4" customHeight="1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90"/>
      <c r="K111" s="91"/>
      <c r="L111" s="91"/>
      <c r="M111" s="77"/>
      <c r="N111" s="77"/>
      <c r="O111" s="77"/>
      <c r="P111" s="77"/>
      <c r="Q111" s="77"/>
      <c r="R111" s="77"/>
      <c r="S111" s="77"/>
      <c r="T111" s="95"/>
      <c r="U111" s="95"/>
      <c r="V111" s="95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 spans="1:32" ht="14.4" customHeight="1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90"/>
      <c r="K112" s="91"/>
      <c r="L112" s="91"/>
      <c r="M112" s="77"/>
      <c r="N112" s="77"/>
      <c r="O112" s="77"/>
      <c r="P112" s="77"/>
      <c r="Q112" s="77"/>
      <c r="R112" s="77"/>
      <c r="S112" s="77"/>
      <c r="T112" s="95"/>
      <c r="U112" s="95"/>
      <c r="V112" s="95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 spans="1:32" ht="14.4" customHeight="1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90"/>
      <c r="K113" s="91"/>
      <c r="L113" s="91"/>
      <c r="M113" s="77"/>
      <c r="N113" s="77"/>
      <c r="O113" s="77"/>
      <c r="P113" s="77"/>
      <c r="Q113" s="77"/>
      <c r="R113" s="77"/>
      <c r="S113" s="77"/>
      <c r="T113" s="95"/>
      <c r="U113" s="95"/>
      <c r="V113" s="95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 spans="1:32" ht="14.4" customHeight="1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90"/>
      <c r="K114" s="91"/>
      <c r="L114" s="91"/>
      <c r="M114" s="77"/>
      <c r="N114" s="77"/>
      <c r="O114" s="77"/>
      <c r="P114" s="77"/>
      <c r="Q114" s="77"/>
      <c r="R114" s="77"/>
      <c r="S114" s="77"/>
      <c r="T114" s="95"/>
      <c r="U114" s="95"/>
      <c r="V114" s="95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 spans="1:32" ht="14.4" customHeight="1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90"/>
      <c r="K115" s="91"/>
      <c r="L115" s="91"/>
      <c r="M115" s="77"/>
      <c r="N115" s="77"/>
      <c r="O115" s="77"/>
      <c r="P115" s="77"/>
      <c r="Q115" s="77"/>
      <c r="R115" s="77"/>
      <c r="S115" s="77"/>
      <c r="T115" s="95"/>
      <c r="U115" s="95"/>
      <c r="V115" s="95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 spans="1:32" ht="14.4" customHeight="1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90"/>
      <c r="K116" s="91"/>
      <c r="L116" s="91"/>
      <c r="M116" s="77"/>
      <c r="N116" s="77"/>
      <c r="O116" s="77"/>
      <c r="P116" s="77"/>
      <c r="Q116" s="77"/>
      <c r="R116" s="77"/>
      <c r="S116" s="77"/>
      <c r="T116" s="95"/>
      <c r="U116" s="95"/>
      <c r="V116" s="95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 spans="1:32" ht="14.4" customHeight="1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90"/>
      <c r="K117" s="91"/>
      <c r="L117" s="91"/>
      <c r="M117" s="77"/>
      <c r="N117" s="77"/>
      <c r="O117" s="77"/>
      <c r="P117" s="77"/>
      <c r="Q117" s="77"/>
      <c r="R117" s="77"/>
      <c r="S117" s="77"/>
      <c r="T117" s="95"/>
      <c r="U117" s="95"/>
      <c r="V117" s="95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 spans="1:32" ht="14.4" customHeight="1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90"/>
      <c r="K118" s="91"/>
      <c r="L118" s="91"/>
      <c r="M118" s="77"/>
      <c r="N118" s="77"/>
      <c r="O118" s="77"/>
      <c r="P118" s="77"/>
      <c r="Q118" s="77"/>
      <c r="R118" s="77"/>
      <c r="S118" s="77"/>
      <c r="T118" s="95"/>
      <c r="U118" s="95"/>
      <c r="V118" s="95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 spans="1:32" ht="14.4" customHeight="1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90"/>
      <c r="K119" s="91"/>
      <c r="L119" s="91"/>
      <c r="M119" s="77"/>
      <c r="N119" s="77"/>
      <c r="O119" s="77"/>
      <c r="P119" s="77"/>
      <c r="Q119" s="77"/>
      <c r="R119" s="77"/>
      <c r="S119" s="77"/>
      <c r="T119" s="95"/>
      <c r="U119" s="95"/>
      <c r="V119" s="95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 spans="1:32" ht="14.4" customHeight="1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90"/>
      <c r="K120" s="91"/>
      <c r="L120" s="91"/>
      <c r="M120" s="77"/>
      <c r="N120" s="77"/>
      <c r="O120" s="77"/>
      <c r="P120" s="77"/>
      <c r="Q120" s="77"/>
      <c r="R120" s="77"/>
      <c r="S120" s="77"/>
      <c r="T120" s="95"/>
      <c r="U120" s="95"/>
      <c r="V120" s="95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 spans="1:32" ht="14.4" customHeight="1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90"/>
      <c r="K121" s="91"/>
      <c r="L121" s="91"/>
      <c r="M121" s="77"/>
      <c r="N121" s="77"/>
      <c r="O121" s="77"/>
      <c r="P121" s="77"/>
      <c r="Q121" s="77"/>
      <c r="R121" s="77"/>
      <c r="S121" s="77"/>
      <c r="T121" s="95"/>
      <c r="U121" s="95"/>
      <c r="V121" s="95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 spans="1:32" ht="14.4" customHeight="1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90"/>
      <c r="K122" s="91"/>
      <c r="L122" s="91"/>
      <c r="M122" s="77"/>
      <c r="N122" s="77"/>
      <c r="O122" s="77"/>
      <c r="P122" s="77"/>
      <c r="Q122" s="77"/>
      <c r="R122" s="77"/>
      <c r="S122" s="77"/>
      <c r="T122" s="95"/>
      <c r="U122" s="95"/>
      <c r="V122" s="95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 spans="1:32" ht="14.4" customHeight="1" x14ac:dyDescent="0.25">
      <c r="A123" s="77"/>
      <c r="B123" s="77"/>
      <c r="C123" s="77"/>
      <c r="D123" s="77"/>
      <c r="E123" s="77"/>
      <c r="F123" s="77"/>
      <c r="G123" s="77"/>
      <c r="H123" s="77"/>
      <c r="I123" s="77"/>
      <c r="J123" s="90"/>
      <c r="K123" s="91"/>
      <c r="L123" s="91"/>
      <c r="M123" s="77"/>
      <c r="N123" s="77"/>
      <c r="O123" s="77"/>
      <c r="P123" s="77"/>
      <c r="Q123" s="77"/>
      <c r="R123" s="77"/>
      <c r="S123" s="77"/>
      <c r="T123" s="95"/>
      <c r="U123" s="95"/>
      <c r="V123" s="95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 spans="1:32" ht="14.4" customHeigh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90"/>
      <c r="K124" s="91"/>
      <c r="L124" s="91"/>
      <c r="M124" s="77"/>
      <c r="N124" s="77"/>
      <c r="O124" s="77"/>
      <c r="P124" s="77"/>
      <c r="Q124" s="77"/>
      <c r="R124" s="77"/>
      <c r="S124" s="77"/>
      <c r="T124" s="95"/>
      <c r="U124" s="95"/>
      <c r="V124" s="95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 spans="1:32" ht="14.4" customHeight="1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90"/>
      <c r="K125" s="91"/>
      <c r="L125" s="91"/>
      <c r="M125" s="77"/>
      <c r="N125" s="77"/>
      <c r="O125" s="77"/>
      <c r="P125" s="77"/>
      <c r="Q125" s="77"/>
      <c r="R125" s="77"/>
      <c r="S125" s="77"/>
      <c r="T125" s="95"/>
      <c r="U125" s="95"/>
      <c r="V125" s="95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spans="1:32" ht="14.4" customHeight="1" x14ac:dyDescent="0.25">
      <c r="A126" s="77"/>
      <c r="B126" s="77"/>
      <c r="C126" s="77"/>
      <c r="D126" s="77"/>
      <c r="E126" s="77"/>
      <c r="F126" s="77"/>
      <c r="G126" s="77"/>
      <c r="H126" s="77"/>
      <c r="I126" s="77"/>
      <c r="J126" s="90"/>
      <c r="K126" s="91"/>
      <c r="L126" s="91"/>
      <c r="M126" s="77"/>
      <c r="N126" s="77"/>
      <c r="O126" s="77"/>
      <c r="P126" s="77"/>
      <c r="Q126" s="77"/>
      <c r="R126" s="77"/>
      <c r="S126" s="77"/>
      <c r="T126" s="95"/>
      <c r="U126" s="95"/>
      <c r="V126" s="95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 spans="1:32" ht="14.4" customHeight="1" x14ac:dyDescent="0.25">
      <c r="A127" s="77"/>
      <c r="B127" s="77"/>
      <c r="C127" s="77"/>
      <c r="D127" s="77"/>
      <c r="E127" s="77"/>
      <c r="F127" s="77"/>
      <c r="G127" s="77"/>
      <c r="H127" s="77"/>
      <c r="I127" s="77"/>
      <c r="J127" s="90"/>
      <c r="K127" s="91"/>
      <c r="L127" s="91"/>
      <c r="M127" s="77"/>
      <c r="N127" s="77"/>
      <c r="O127" s="77"/>
      <c r="P127" s="77"/>
      <c r="Q127" s="77"/>
      <c r="R127" s="77"/>
      <c r="S127" s="77"/>
      <c r="T127" s="95"/>
      <c r="U127" s="95"/>
      <c r="V127" s="95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 spans="1:32" ht="14.4" customHeight="1" x14ac:dyDescent="0.25">
      <c r="A128" s="77"/>
      <c r="B128" s="77"/>
      <c r="C128" s="77"/>
      <c r="D128" s="77"/>
      <c r="E128" s="77"/>
      <c r="F128" s="77"/>
      <c r="G128" s="77"/>
      <c r="H128" s="77"/>
      <c r="I128" s="77"/>
      <c r="J128" s="90"/>
      <c r="K128" s="91"/>
      <c r="L128" s="91"/>
      <c r="M128" s="77"/>
      <c r="N128" s="77"/>
      <c r="O128" s="77"/>
      <c r="P128" s="77"/>
      <c r="Q128" s="77"/>
      <c r="R128" s="77"/>
      <c r="S128" s="77"/>
      <c r="T128" s="95"/>
      <c r="U128" s="95"/>
      <c r="V128" s="95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 spans="1:32" ht="14.4" customHeight="1" x14ac:dyDescent="0.25">
      <c r="A129" s="77"/>
      <c r="B129" s="77"/>
      <c r="C129" s="77"/>
      <c r="D129" s="77"/>
      <c r="E129" s="77"/>
      <c r="F129" s="77"/>
      <c r="G129" s="77"/>
      <c r="H129" s="77"/>
      <c r="I129" s="77"/>
      <c r="J129" s="90"/>
      <c r="K129" s="91"/>
      <c r="L129" s="91"/>
      <c r="M129" s="77"/>
      <c r="N129" s="77"/>
      <c r="O129" s="77"/>
      <c r="P129" s="77"/>
      <c r="Q129" s="77"/>
      <c r="R129" s="77"/>
      <c r="S129" s="77"/>
      <c r="T129" s="95"/>
      <c r="U129" s="95"/>
      <c r="V129" s="95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 spans="1:32" ht="14.4" customHeight="1" x14ac:dyDescent="0.25">
      <c r="A130" s="77"/>
      <c r="B130" s="77"/>
      <c r="C130" s="77"/>
      <c r="D130" s="77"/>
      <c r="E130" s="77"/>
      <c r="F130" s="77"/>
      <c r="G130" s="77"/>
      <c r="H130" s="77"/>
      <c r="I130" s="77"/>
      <c r="J130" s="90"/>
      <c r="K130" s="91"/>
      <c r="L130" s="91"/>
      <c r="M130" s="77"/>
      <c r="N130" s="77"/>
      <c r="O130" s="77"/>
      <c r="P130" s="77"/>
      <c r="Q130" s="77"/>
      <c r="R130" s="77"/>
      <c r="S130" s="77"/>
      <c r="T130" s="95"/>
      <c r="U130" s="95"/>
      <c r="V130" s="95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 spans="1:32" ht="14.4" customHeight="1" x14ac:dyDescent="0.25">
      <c r="A131" s="77"/>
      <c r="B131" s="77"/>
      <c r="C131" s="77"/>
      <c r="D131" s="77"/>
      <c r="E131" s="77"/>
      <c r="F131" s="77"/>
      <c r="G131" s="77"/>
      <c r="H131" s="77"/>
      <c r="I131" s="77"/>
      <c r="J131" s="90"/>
      <c r="K131" s="91"/>
      <c r="L131" s="91"/>
      <c r="M131" s="77"/>
      <c r="N131" s="77"/>
      <c r="O131" s="77"/>
      <c r="P131" s="77"/>
      <c r="Q131" s="77"/>
      <c r="R131" s="77"/>
      <c r="S131" s="77"/>
      <c r="T131" s="95"/>
      <c r="U131" s="95"/>
      <c r="V131" s="95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 spans="1:32" ht="14.4" customHeight="1" x14ac:dyDescent="0.25">
      <c r="A132" s="77"/>
      <c r="B132" s="77"/>
      <c r="C132" s="77"/>
      <c r="D132" s="77"/>
      <c r="E132" s="77"/>
      <c r="F132" s="77"/>
      <c r="G132" s="77"/>
      <c r="H132" s="77"/>
      <c r="I132" s="77"/>
      <c r="J132" s="90"/>
      <c r="K132" s="91"/>
      <c r="L132" s="91"/>
      <c r="M132" s="77"/>
      <c r="N132" s="77"/>
      <c r="O132" s="77"/>
      <c r="P132" s="77"/>
      <c r="Q132" s="77"/>
      <c r="R132" s="77"/>
      <c r="S132" s="77"/>
      <c r="T132" s="95"/>
      <c r="U132" s="95"/>
      <c r="V132" s="95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 spans="1:32" ht="14.4" customHeight="1" x14ac:dyDescent="0.25">
      <c r="A133" s="77"/>
      <c r="B133" s="77"/>
      <c r="C133" s="77"/>
      <c r="D133" s="77"/>
      <c r="E133" s="77"/>
      <c r="F133" s="77"/>
      <c r="G133" s="77"/>
      <c r="H133" s="77"/>
      <c r="I133" s="77"/>
      <c r="J133" s="90"/>
      <c r="K133" s="91"/>
      <c r="L133" s="91"/>
      <c r="M133" s="77"/>
      <c r="N133" s="77"/>
      <c r="O133" s="77"/>
      <c r="P133" s="77"/>
      <c r="Q133" s="77"/>
      <c r="R133" s="77"/>
      <c r="S133" s="77"/>
      <c r="T133" s="95"/>
      <c r="U133" s="95"/>
      <c r="V133" s="95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 spans="1:32" ht="14.4" customHeight="1" x14ac:dyDescent="0.25">
      <c r="A134" s="77"/>
      <c r="B134" s="77"/>
      <c r="C134" s="77"/>
      <c r="D134" s="77"/>
      <c r="E134" s="77"/>
      <c r="F134" s="77"/>
      <c r="G134" s="77"/>
      <c r="H134" s="77"/>
      <c r="I134" s="77"/>
      <c r="J134" s="90"/>
      <c r="K134" s="91"/>
      <c r="L134" s="91"/>
      <c r="M134" s="77"/>
      <c r="N134" s="77"/>
      <c r="O134" s="77"/>
      <c r="P134" s="77"/>
      <c r="Q134" s="77"/>
      <c r="R134" s="77"/>
      <c r="S134" s="77"/>
      <c r="T134" s="95"/>
      <c r="U134" s="95"/>
      <c r="V134" s="95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 spans="1:32" ht="14.4" customHeight="1" x14ac:dyDescent="0.25">
      <c r="A135" s="77"/>
      <c r="B135" s="77"/>
      <c r="C135" s="77"/>
      <c r="D135" s="77"/>
      <c r="E135" s="77"/>
      <c r="F135" s="77"/>
      <c r="G135" s="77"/>
      <c r="H135" s="77"/>
      <c r="I135" s="77"/>
      <c r="J135" s="90"/>
      <c r="K135" s="91"/>
      <c r="L135" s="91"/>
      <c r="M135" s="77"/>
      <c r="N135" s="77"/>
      <c r="O135" s="77"/>
      <c r="P135" s="77"/>
      <c r="Q135" s="77"/>
      <c r="R135" s="77"/>
      <c r="S135" s="77"/>
      <c r="T135" s="95"/>
      <c r="U135" s="95"/>
      <c r="V135" s="95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 spans="1:32" ht="14.4" customHeight="1" x14ac:dyDescent="0.25">
      <c r="A136" s="77"/>
      <c r="B136" s="77"/>
      <c r="C136" s="77"/>
      <c r="D136" s="77"/>
      <c r="E136" s="77"/>
      <c r="F136" s="77"/>
      <c r="G136" s="77"/>
      <c r="H136" s="77"/>
      <c r="I136" s="77"/>
      <c r="J136" s="90"/>
      <c r="K136" s="91"/>
      <c r="L136" s="91"/>
      <c r="M136" s="77"/>
      <c r="N136" s="77"/>
      <c r="O136" s="77"/>
      <c r="P136" s="77"/>
      <c r="Q136" s="77"/>
      <c r="R136" s="77"/>
      <c r="S136" s="77"/>
      <c r="T136" s="95"/>
      <c r="U136" s="95"/>
      <c r="V136" s="95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 spans="1:32" ht="14.4" customHeight="1" x14ac:dyDescent="0.25">
      <c r="A137" s="77"/>
      <c r="B137" s="77"/>
      <c r="C137" s="77"/>
      <c r="D137" s="77"/>
      <c r="E137" s="77"/>
      <c r="F137" s="77"/>
      <c r="G137" s="77"/>
      <c r="H137" s="77"/>
      <c r="I137" s="77"/>
      <c r="J137" s="90"/>
      <c r="K137" s="91"/>
      <c r="L137" s="91"/>
      <c r="M137" s="77"/>
      <c r="N137" s="77"/>
      <c r="O137" s="77"/>
      <c r="P137" s="77"/>
      <c r="Q137" s="77"/>
      <c r="R137" s="77"/>
      <c r="S137" s="77"/>
      <c r="T137" s="95"/>
      <c r="U137" s="95"/>
      <c r="V137" s="95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 spans="1:32" ht="14.4" customHeight="1" x14ac:dyDescent="0.25">
      <c r="A138" s="77"/>
      <c r="B138" s="77"/>
      <c r="C138" s="77"/>
      <c r="D138" s="77"/>
      <c r="E138" s="77"/>
      <c r="F138" s="77"/>
      <c r="G138" s="77"/>
      <c r="H138" s="77"/>
      <c r="I138" s="77"/>
      <c r="J138" s="90"/>
      <c r="K138" s="91"/>
      <c r="L138" s="91"/>
      <c r="M138" s="77"/>
      <c r="N138" s="77"/>
      <c r="O138" s="77"/>
      <c r="P138" s="77"/>
      <c r="Q138" s="77"/>
      <c r="R138" s="77"/>
      <c r="S138" s="77"/>
      <c r="T138" s="95"/>
      <c r="U138" s="95"/>
      <c r="V138" s="95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 spans="1:32" ht="14.4" customHeight="1" x14ac:dyDescent="0.25">
      <c r="A139" s="77"/>
      <c r="B139" s="77"/>
      <c r="C139" s="77"/>
      <c r="D139" s="77"/>
      <c r="E139" s="77"/>
      <c r="F139" s="77"/>
      <c r="G139" s="77"/>
      <c r="H139" s="77"/>
      <c r="I139" s="77"/>
      <c r="J139" s="90"/>
      <c r="K139" s="91"/>
      <c r="L139" s="91"/>
      <c r="M139" s="77"/>
      <c r="N139" s="77"/>
      <c r="O139" s="77"/>
      <c r="P139" s="77"/>
      <c r="Q139" s="77"/>
      <c r="R139" s="77"/>
      <c r="S139" s="77"/>
      <c r="T139" s="95"/>
      <c r="U139" s="95"/>
      <c r="V139" s="95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 spans="1:32" ht="14.4" customHeight="1" x14ac:dyDescent="0.25">
      <c r="A140" s="77"/>
      <c r="B140" s="77"/>
      <c r="C140" s="77"/>
      <c r="D140" s="77"/>
      <c r="E140" s="77"/>
      <c r="F140" s="77"/>
      <c r="G140" s="77"/>
      <c r="H140" s="77"/>
      <c r="I140" s="77"/>
      <c r="J140" s="90"/>
      <c r="K140" s="91"/>
      <c r="L140" s="91"/>
      <c r="M140" s="77"/>
      <c r="N140" s="77"/>
      <c r="O140" s="77"/>
      <c r="P140" s="77"/>
      <c r="Q140" s="77"/>
      <c r="R140" s="77"/>
      <c r="S140" s="77"/>
      <c r="T140" s="95"/>
      <c r="U140" s="95"/>
      <c r="V140" s="95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 spans="1:32" ht="14.4" customHeight="1" x14ac:dyDescent="0.25">
      <c r="A141" s="77"/>
      <c r="B141" s="77"/>
      <c r="C141" s="77"/>
      <c r="D141" s="77"/>
      <c r="E141" s="77"/>
      <c r="F141" s="77"/>
      <c r="G141" s="77"/>
      <c r="H141" s="77"/>
      <c r="I141" s="77"/>
      <c r="J141" s="90"/>
      <c r="K141" s="91"/>
      <c r="L141" s="91"/>
      <c r="M141" s="77"/>
      <c r="N141" s="77"/>
      <c r="O141" s="77"/>
      <c r="P141" s="77"/>
      <c r="Q141" s="77"/>
      <c r="R141" s="77"/>
      <c r="S141" s="77"/>
      <c r="T141" s="95"/>
      <c r="U141" s="95"/>
      <c r="V141" s="95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 spans="1:32" ht="14.4" customHeight="1" x14ac:dyDescent="0.25">
      <c r="A142" s="77"/>
      <c r="B142" s="77"/>
      <c r="C142" s="77"/>
      <c r="D142" s="77"/>
      <c r="E142" s="77"/>
      <c r="F142" s="77"/>
      <c r="G142" s="77"/>
      <c r="H142" s="77"/>
      <c r="I142" s="77"/>
      <c r="J142" s="90"/>
      <c r="K142" s="91"/>
      <c r="L142" s="91"/>
      <c r="M142" s="77"/>
      <c r="N142" s="77"/>
      <c r="O142" s="77"/>
      <c r="P142" s="77"/>
      <c r="Q142" s="77"/>
      <c r="R142" s="77"/>
      <c r="S142" s="77"/>
      <c r="T142" s="95"/>
      <c r="U142" s="95"/>
      <c r="V142" s="95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 spans="1:32" ht="14.4" customHeight="1" x14ac:dyDescent="0.25">
      <c r="A143" s="77"/>
      <c r="B143" s="77"/>
      <c r="C143" s="77"/>
      <c r="D143" s="77"/>
      <c r="E143" s="77"/>
      <c r="F143" s="77"/>
      <c r="G143" s="77"/>
      <c r="H143" s="77"/>
      <c r="I143" s="77"/>
      <c r="J143" s="90"/>
      <c r="K143" s="91"/>
      <c r="L143" s="91"/>
      <c r="M143" s="77"/>
      <c r="N143" s="77"/>
      <c r="O143" s="77"/>
      <c r="P143" s="77"/>
      <c r="Q143" s="77"/>
      <c r="R143" s="77"/>
      <c r="S143" s="77"/>
      <c r="T143" s="95"/>
      <c r="U143" s="95"/>
      <c r="V143" s="95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 spans="1:32" ht="14.4" customHeight="1" x14ac:dyDescent="0.25">
      <c r="A144" s="77"/>
      <c r="B144" s="77"/>
      <c r="C144" s="77"/>
      <c r="D144" s="77"/>
      <c r="E144" s="77"/>
      <c r="F144" s="77"/>
      <c r="G144" s="77"/>
      <c r="H144" s="77"/>
      <c r="I144" s="77"/>
      <c r="J144" s="90"/>
      <c r="K144" s="91"/>
      <c r="L144" s="91"/>
      <c r="M144" s="77"/>
      <c r="N144" s="77"/>
      <c r="O144" s="77"/>
      <c r="P144" s="77"/>
      <c r="Q144" s="77"/>
      <c r="R144" s="77"/>
      <c r="S144" s="77"/>
      <c r="T144" s="95"/>
      <c r="U144" s="95"/>
      <c r="V144" s="95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 spans="1:32" ht="14.4" customHeight="1" x14ac:dyDescent="0.25">
      <c r="A145" s="77"/>
      <c r="B145" s="77"/>
      <c r="C145" s="77"/>
      <c r="D145" s="77"/>
      <c r="E145" s="77"/>
      <c r="F145" s="77"/>
      <c r="G145" s="77"/>
      <c r="H145" s="77"/>
      <c r="I145" s="77"/>
      <c r="J145" s="90"/>
      <c r="K145" s="91"/>
      <c r="L145" s="91"/>
      <c r="M145" s="77"/>
      <c r="N145" s="77"/>
      <c r="O145" s="77"/>
      <c r="P145" s="77"/>
      <c r="Q145" s="77"/>
      <c r="R145" s="77"/>
      <c r="S145" s="77"/>
      <c r="T145" s="95"/>
      <c r="U145" s="95"/>
      <c r="V145" s="95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 spans="1:32" ht="14.4" customHeight="1" x14ac:dyDescent="0.25">
      <c r="A146" s="77"/>
      <c r="B146" s="77"/>
      <c r="C146" s="77"/>
      <c r="D146" s="77"/>
      <c r="E146" s="77"/>
      <c r="F146" s="77"/>
      <c r="G146" s="77"/>
      <c r="H146" s="77"/>
      <c r="I146" s="77"/>
      <c r="J146" s="90"/>
      <c r="K146" s="91"/>
      <c r="L146" s="91"/>
      <c r="M146" s="77"/>
      <c r="N146" s="77"/>
      <c r="O146" s="77"/>
      <c r="P146" s="77"/>
      <c r="Q146" s="77"/>
      <c r="R146" s="77"/>
      <c r="S146" s="77"/>
      <c r="T146" s="95"/>
      <c r="U146" s="95"/>
      <c r="V146" s="95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 spans="1:32" ht="14.4" customHeight="1" x14ac:dyDescent="0.25">
      <c r="A147" s="77"/>
      <c r="B147" s="77"/>
      <c r="C147" s="77"/>
      <c r="D147" s="77"/>
      <c r="E147" s="77"/>
      <c r="F147" s="77"/>
      <c r="G147" s="77"/>
      <c r="H147" s="77"/>
      <c r="I147" s="77"/>
      <c r="J147" s="90"/>
      <c r="K147" s="91"/>
      <c r="L147" s="91"/>
      <c r="M147" s="77"/>
      <c r="N147" s="77"/>
      <c r="O147" s="77"/>
      <c r="P147" s="77"/>
      <c r="Q147" s="77"/>
      <c r="R147" s="77"/>
      <c r="S147" s="77"/>
      <c r="T147" s="95"/>
      <c r="U147" s="95"/>
      <c r="V147" s="95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 spans="1:32" ht="14.4" customHeight="1" x14ac:dyDescent="0.25">
      <c r="A148" s="77"/>
      <c r="B148" s="77"/>
      <c r="C148" s="77"/>
      <c r="D148" s="77"/>
      <c r="E148" s="77"/>
      <c r="F148" s="77"/>
      <c r="G148" s="77"/>
      <c r="H148" s="77"/>
      <c r="I148" s="77"/>
      <c r="J148" s="90"/>
      <c r="K148" s="91"/>
      <c r="L148" s="91"/>
      <c r="M148" s="77"/>
      <c r="N148" s="77"/>
      <c r="O148" s="77"/>
      <c r="P148" s="77"/>
      <c r="Q148" s="77"/>
      <c r="R148" s="77"/>
      <c r="S148" s="77"/>
      <c r="T148" s="95"/>
      <c r="U148" s="95"/>
      <c r="V148" s="95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 spans="1:32" ht="14.4" customHeight="1" x14ac:dyDescent="0.25">
      <c r="A149" s="77"/>
      <c r="B149" s="77"/>
      <c r="C149" s="77"/>
      <c r="D149" s="77"/>
      <c r="E149" s="77"/>
      <c r="F149" s="77"/>
      <c r="G149" s="77"/>
      <c r="H149" s="77"/>
      <c r="I149" s="77"/>
      <c r="J149" s="90"/>
      <c r="K149" s="91"/>
      <c r="L149" s="91"/>
      <c r="M149" s="77"/>
      <c r="N149" s="77"/>
      <c r="O149" s="77"/>
      <c r="P149" s="77"/>
      <c r="Q149" s="77"/>
      <c r="R149" s="77"/>
      <c r="S149" s="77"/>
      <c r="T149" s="95"/>
      <c r="U149" s="95"/>
      <c r="V149" s="95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 spans="1:32" ht="14.4" customHeight="1" x14ac:dyDescent="0.25">
      <c r="A150" s="77"/>
      <c r="B150" s="77"/>
      <c r="C150" s="77"/>
      <c r="D150" s="77"/>
      <c r="E150" s="77"/>
      <c r="F150" s="77"/>
      <c r="G150" s="77"/>
      <c r="H150" s="77"/>
      <c r="I150" s="77"/>
      <c r="J150" s="90"/>
      <c r="K150" s="91"/>
      <c r="L150" s="91"/>
      <c r="M150" s="77"/>
      <c r="N150" s="77"/>
      <c r="O150" s="77"/>
      <c r="P150" s="77"/>
      <c r="Q150" s="77"/>
      <c r="R150" s="77"/>
      <c r="S150" s="77"/>
      <c r="T150" s="95"/>
      <c r="U150" s="95"/>
      <c r="V150" s="95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 spans="1:32" ht="14.4" customHeight="1" x14ac:dyDescent="0.25">
      <c r="A151" s="77"/>
      <c r="B151" s="77"/>
      <c r="C151" s="77"/>
      <c r="D151" s="77"/>
      <c r="E151" s="77"/>
      <c r="F151" s="77"/>
      <c r="G151" s="77"/>
      <c r="H151" s="77"/>
      <c r="I151" s="77"/>
      <c r="J151" s="90"/>
      <c r="K151" s="91"/>
      <c r="L151" s="91"/>
      <c r="M151" s="77"/>
      <c r="N151" s="77"/>
      <c r="O151" s="77"/>
      <c r="P151" s="77"/>
      <c r="Q151" s="77"/>
      <c r="R151" s="77"/>
      <c r="S151" s="77"/>
      <c r="T151" s="95"/>
      <c r="U151" s="95"/>
      <c r="V151" s="95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 spans="1:32" ht="14.4" customHeight="1" x14ac:dyDescent="0.25">
      <c r="A152" s="77"/>
      <c r="B152" s="77"/>
      <c r="C152" s="77"/>
      <c r="D152" s="77"/>
      <c r="E152" s="77"/>
      <c r="F152" s="77"/>
      <c r="G152" s="77"/>
      <c r="H152" s="77"/>
      <c r="I152" s="77"/>
      <c r="J152" s="90"/>
      <c r="K152" s="91"/>
      <c r="L152" s="91"/>
      <c r="M152" s="77"/>
      <c r="N152" s="77"/>
      <c r="O152" s="77"/>
      <c r="P152" s="77"/>
      <c r="Q152" s="77"/>
      <c r="R152" s="77"/>
      <c r="S152" s="77"/>
      <c r="T152" s="95"/>
      <c r="U152" s="95"/>
      <c r="V152" s="95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 spans="1:32" ht="14.4" customHeight="1" x14ac:dyDescent="0.25">
      <c r="A153" s="77"/>
      <c r="B153" s="77"/>
      <c r="C153" s="77"/>
      <c r="D153" s="77"/>
      <c r="E153" s="77"/>
      <c r="F153" s="77"/>
      <c r="G153" s="77"/>
      <c r="H153" s="77"/>
      <c r="I153" s="77"/>
      <c r="J153" s="90"/>
      <c r="K153" s="91"/>
      <c r="L153" s="91"/>
      <c r="M153" s="77"/>
      <c r="N153" s="77"/>
      <c r="O153" s="77"/>
      <c r="P153" s="77"/>
      <c r="Q153" s="77"/>
      <c r="R153" s="77"/>
      <c r="S153" s="77"/>
      <c r="T153" s="95"/>
      <c r="U153" s="95"/>
      <c r="V153" s="95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 spans="1:32" ht="14.4" customHeight="1" x14ac:dyDescent="0.25">
      <c r="A154" s="77"/>
      <c r="B154" s="77"/>
      <c r="C154" s="77"/>
      <c r="D154" s="77"/>
      <c r="E154" s="77"/>
      <c r="F154" s="77"/>
      <c r="G154" s="77"/>
      <c r="H154" s="77"/>
      <c r="I154" s="77"/>
      <c r="J154" s="90"/>
      <c r="K154" s="91"/>
      <c r="L154" s="91"/>
      <c r="M154" s="77"/>
      <c r="N154" s="77"/>
      <c r="O154" s="77"/>
      <c r="P154" s="77"/>
      <c r="Q154" s="77"/>
      <c r="R154" s="77"/>
      <c r="S154" s="77"/>
      <c r="T154" s="95"/>
      <c r="U154" s="95"/>
      <c r="V154" s="95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 spans="1:32" ht="14.4" customHeight="1" x14ac:dyDescent="0.25">
      <c r="A155" s="77"/>
      <c r="B155" s="77"/>
      <c r="C155" s="77"/>
      <c r="D155" s="77"/>
      <c r="E155" s="77"/>
      <c r="F155" s="77"/>
      <c r="G155" s="77"/>
      <c r="H155" s="77"/>
      <c r="I155" s="77"/>
      <c r="J155" s="90"/>
      <c r="K155" s="91"/>
      <c r="L155" s="91"/>
      <c r="M155" s="77"/>
      <c r="N155" s="77"/>
      <c r="O155" s="77"/>
      <c r="P155" s="77"/>
      <c r="Q155" s="77"/>
      <c r="R155" s="77"/>
      <c r="S155" s="77"/>
      <c r="T155" s="95"/>
      <c r="U155" s="95"/>
      <c r="V155" s="95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 spans="1:32" ht="14.4" customHeight="1" x14ac:dyDescent="0.25">
      <c r="A156" s="77"/>
      <c r="B156" s="77"/>
      <c r="C156" s="77"/>
      <c r="D156" s="77"/>
      <c r="E156" s="77"/>
      <c r="F156" s="77"/>
      <c r="G156" s="77"/>
      <c r="H156" s="77"/>
      <c r="I156" s="77"/>
      <c r="J156" s="90"/>
      <c r="K156" s="91"/>
      <c r="L156" s="91"/>
      <c r="M156" s="77"/>
      <c r="N156" s="77"/>
      <c r="O156" s="77"/>
      <c r="P156" s="77"/>
      <c r="Q156" s="77"/>
      <c r="R156" s="77"/>
      <c r="S156" s="77"/>
      <c r="T156" s="95"/>
      <c r="U156" s="95"/>
      <c r="V156" s="95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 spans="1:32" ht="14.4" customHeight="1" x14ac:dyDescent="0.25">
      <c r="A157" s="77"/>
      <c r="B157" s="77"/>
      <c r="C157" s="77"/>
      <c r="D157" s="77"/>
      <c r="E157" s="77"/>
      <c r="F157" s="77"/>
      <c r="G157" s="77"/>
      <c r="H157" s="77"/>
      <c r="I157" s="77"/>
      <c r="J157" s="90"/>
      <c r="K157" s="91"/>
      <c r="L157" s="91"/>
      <c r="M157" s="77"/>
      <c r="N157" s="77"/>
      <c r="O157" s="77"/>
      <c r="P157" s="77"/>
      <c r="Q157" s="77"/>
      <c r="R157" s="77"/>
      <c r="S157" s="77"/>
      <c r="T157" s="95"/>
      <c r="U157" s="95"/>
      <c r="V157" s="95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 spans="1:32" ht="14.4" customHeight="1" x14ac:dyDescent="0.25">
      <c r="A158" s="77"/>
      <c r="B158" s="77"/>
      <c r="C158" s="77"/>
      <c r="D158" s="77"/>
      <c r="E158" s="77"/>
      <c r="F158" s="77"/>
      <c r="G158" s="77"/>
      <c r="H158" s="77"/>
      <c r="I158" s="77"/>
      <c r="J158" s="90"/>
      <c r="K158" s="91"/>
      <c r="L158" s="91"/>
      <c r="M158" s="77"/>
      <c r="N158" s="77"/>
      <c r="O158" s="77"/>
      <c r="P158" s="77"/>
      <c r="Q158" s="77"/>
      <c r="R158" s="77"/>
      <c r="S158" s="77"/>
      <c r="T158" s="95"/>
      <c r="U158" s="95"/>
      <c r="V158" s="95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 spans="1:32" ht="14.4" customHeight="1" x14ac:dyDescent="0.25">
      <c r="A159" s="77"/>
      <c r="B159" s="77"/>
      <c r="C159" s="77"/>
      <c r="D159" s="77"/>
      <c r="E159" s="77"/>
      <c r="F159" s="77"/>
      <c r="G159" s="77"/>
      <c r="H159" s="77"/>
      <c r="I159" s="77"/>
      <c r="J159" s="90"/>
      <c r="K159" s="91"/>
      <c r="L159" s="91"/>
      <c r="M159" s="77"/>
      <c r="N159" s="77"/>
      <c r="O159" s="77"/>
      <c r="P159" s="77"/>
      <c r="Q159" s="77"/>
      <c r="R159" s="77"/>
      <c r="S159" s="77"/>
      <c r="T159" s="95"/>
      <c r="U159" s="95"/>
      <c r="V159" s="95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 spans="1:32" ht="14.4" customHeight="1" x14ac:dyDescent="0.25">
      <c r="A160" s="77"/>
      <c r="B160" s="77"/>
      <c r="C160" s="77"/>
      <c r="D160" s="77"/>
      <c r="E160" s="77"/>
      <c r="F160" s="77"/>
      <c r="G160" s="77"/>
      <c r="H160" s="77"/>
      <c r="I160" s="77"/>
      <c r="J160" s="90"/>
      <c r="K160" s="91"/>
      <c r="L160" s="91"/>
      <c r="M160" s="77"/>
      <c r="N160" s="77"/>
      <c r="O160" s="77"/>
      <c r="P160" s="77"/>
      <c r="Q160" s="77"/>
      <c r="R160" s="77"/>
      <c r="S160" s="77"/>
      <c r="T160" s="95"/>
      <c r="U160" s="95"/>
      <c r="V160" s="95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 spans="1:32" ht="14.4" customHeight="1" x14ac:dyDescent="0.25">
      <c r="A161" s="77"/>
      <c r="B161" s="77"/>
      <c r="C161" s="77"/>
      <c r="D161" s="77"/>
      <c r="E161" s="77"/>
      <c r="F161" s="77"/>
      <c r="G161" s="77"/>
      <c r="H161" s="77"/>
      <c r="I161" s="77"/>
      <c r="J161" s="90"/>
      <c r="K161" s="91"/>
      <c r="L161" s="91"/>
      <c r="M161" s="77"/>
      <c r="N161" s="77"/>
      <c r="O161" s="77"/>
      <c r="P161" s="77"/>
      <c r="Q161" s="77"/>
      <c r="R161" s="77"/>
      <c r="S161" s="77"/>
      <c r="T161" s="95"/>
      <c r="U161" s="95"/>
      <c r="V161" s="95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 spans="1:32" ht="14.4" customHeight="1" x14ac:dyDescent="0.25">
      <c r="A162" s="77"/>
      <c r="B162" s="77"/>
      <c r="C162" s="77"/>
      <c r="D162" s="77"/>
      <c r="E162" s="77"/>
      <c r="F162" s="77"/>
      <c r="G162" s="77"/>
      <c r="H162" s="77"/>
      <c r="I162" s="77"/>
      <c r="J162" s="90"/>
      <c r="K162" s="91"/>
      <c r="L162" s="91"/>
      <c r="M162" s="77"/>
      <c r="N162" s="77"/>
      <c r="O162" s="77"/>
      <c r="P162" s="77"/>
      <c r="Q162" s="77"/>
      <c r="R162" s="77"/>
      <c r="S162" s="77"/>
      <c r="T162" s="95"/>
      <c r="U162" s="95"/>
      <c r="V162" s="95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 spans="1:32" ht="14.4" customHeight="1" x14ac:dyDescent="0.25">
      <c r="A163" s="77"/>
      <c r="B163" s="77"/>
      <c r="C163" s="77"/>
      <c r="D163" s="77"/>
      <c r="E163" s="77"/>
      <c r="F163" s="77"/>
      <c r="G163" s="77"/>
      <c r="H163" s="77"/>
      <c r="I163" s="77"/>
      <c r="J163" s="90"/>
      <c r="K163" s="91"/>
      <c r="L163" s="91"/>
      <c r="M163" s="77"/>
      <c r="N163" s="77"/>
      <c r="O163" s="77"/>
      <c r="P163" s="77"/>
      <c r="Q163" s="77"/>
      <c r="R163" s="77"/>
      <c r="S163" s="77"/>
      <c r="T163" s="95"/>
      <c r="U163" s="95"/>
      <c r="V163" s="95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 spans="1:32" ht="14.4" customHeight="1" x14ac:dyDescent="0.25">
      <c r="A164" s="77"/>
      <c r="B164" s="77"/>
      <c r="C164" s="77"/>
      <c r="D164" s="77"/>
      <c r="E164" s="77"/>
      <c r="F164" s="77"/>
      <c r="G164" s="77"/>
      <c r="H164" s="77"/>
      <c r="I164" s="77"/>
      <c r="J164" s="90"/>
      <c r="K164" s="91"/>
      <c r="L164" s="91"/>
      <c r="M164" s="77"/>
      <c r="N164" s="77"/>
      <c r="O164" s="77"/>
      <c r="P164" s="77"/>
      <c r="Q164" s="77"/>
      <c r="R164" s="77"/>
      <c r="S164" s="77"/>
      <c r="T164" s="95"/>
      <c r="U164" s="95"/>
      <c r="V164" s="95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 spans="1:32" ht="14.4" customHeight="1" x14ac:dyDescent="0.25">
      <c r="A165" s="77"/>
      <c r="B165" s="77"/>
      <c r="C165" s="77"/>
      <c r="D165" s="77"/>
      <c r="E165" s="77"/>
      <c r="F165" s="77"/>
      <c r="G165" s="77"/>
      <c r="H165" s="77"/>
      <c r="I165" s="77"/>
      <c r="J165" s="90"/>
      <c r="K165" s="91"/>
      <c r="L165" s="91"/>
      <c r="M165" s="77"/>
      <c r="N165" s="77"/>
      <c r="O165" s="77"/>
      <c r="P165" s="77"/>
      <c r="Q165" s="77"/>
      <c r="R165" s="77"/>
      <c r="S165" s="77"/>
      <c r="T165" s="95"/>
      <c r="U165" s="95"/>
      <c r="V165" s="95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 spans="1:32" ht="14.4" customHeight="1" x14ac:dyDescent="0.25">
      <c r="A166" s="77"/>
      <c r="B166" s="77"/>
      <c r="C166" s="77"/>
      <c r="D166" s="77"/>
      <c r="E166" s="77"/>
      <c r="F166" s="77"/>
      <c r="G166" s="77"/>
      <c r="H166" s="77"/>
      <c r="I166" s="77"/>
      <c r="J166" s="90"/>
      <c r="K166" s="91"/>
      <c r="L166" s="91"/>
      <c r="M166" s="77"/>
      <c r="N166" s="77"/>
      <c r="O166" s="77"/>
      <c r="P166" s="77"/>
      <c r="Q166" s="77"/>
      <c r="R166" s="77"/>
      <c r="S166" s="77"/>
      <c r="T166" s="95"/>
      <c r="U166" s="95"/>
      <c r="V166" s="95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 spans="1:32" ht="14.4" customHeight="1" x14ac:dyDescent="0.25">
      <c r="A167" s="77"/>
      <c r="B167" s="77"/>
      <c r="C167" s="77"/>
      <c r="D167" s="77"/>
      <c r="E167" s="77"/>
      <c r="F167" s="77"/>
      <c r="G167" s="77"/>
      <c r="H167" s="77"/>
      <c r="I167" s="77"/>
      <c r="J167" s="90"/>
      <c r="K167" s="91"/>
      <c r="L167" s="91"/>
      <c r="M167" s="77"/>
      <c r="N167" s="77"/>
      <c r="O167" s="77"/>
      <c r="P167" s="77"/>
      <c r="Q167" s="77"/>
      <c r="R167" s="77"/>
      <c r="S167" s="77"/>
      <c r="T167" s="95"/>
      <c r="U167" s="95"/>
      <c r="V167" s="95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 spans="1:32" ht="14.4" customHeight="1" x14ac:dyDescent="0.25">
      <c r="A168" s="77"/>
      <c r="B168" s="77"/>
      <c r="C168" s="77"/>
      <c r="D168" s="77"/>
      <c r="E168" s="77"/>
      <c r="F168" s="77"/>
      <c r="G168" s="77"/>
      <c r="H168" s="77"/>
      <c r="I168" s="77"/>
      <c r="J168" s="90"/>
      <c r="K168" s="91"/>
      <c r="L168" s="91"/>
      <c r="M168" s="77"/>
      <c r="N168" s="77"/>
      <c r="O168" s="77"/>
      <c r="P168" s="77"/>
      <c r="Q168" s="77"/>
      <c r="R168" s="77"/>
      <c r="S168" s="77"/>
      <c r="T168" s="95"/>
      <c r="U168" s="95"/>
      <c r="V168" s="95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 spans="1:32" ht="14.4" customHeight="1" x14ac:dyDescent="0.25">
      <c r="A169" s="77"/>
      <c r="B169" s="77"/>
      <c r="C169" s="77"/>
      <c r="D169" s="77"/>
      <c r="E169" s="77"/>
      <c r="F169" s="77"/>
      <c r="G169" s="77"/>
      <c r="H169" s="77"/>
      <c r="I169" s="77"/>
      <c r="J169" s="90"/>
      <c r="K169" s="91"/>
      <c r="L169" s="91"/>
      <c r="M169" s="77"/>
      <c r="N169" s="77"/>
      <c r="O169" s="77"/>
      <c r="P169" s="77"/>
      <c r="Q169" s="77"/>
      <c r="R169" s="77"/>
      <c r="S169" s="77"/>
      <c r="T169" s="95"/>
      <c r="U169" s="95"/>
      <c r="V169" s="95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 spans="1:32" ht="14.4" customHeight="1" x14ac:dyDescent="0.25">
      <c r="A170" s="77"/>
      <c r="B170" s="77"/>
      <c r="C170" s="77"/>
      <c r="D170" s="77"/>
      <c r="E170" s="77"/>
      <c r="F170" s="77"/>
      <c r="G170" s="77"/>
      <c r="H170" s="77"/>
      <c r="I170" s="77"/>
      <c r="J170" s="90"/>
      <c r="K170" s="91"/>
      <c r="L170" s="91"/>
      <c r="M170" s="77"/>
      <c r="N170" s="77"/>
      <c r="O170" s="77"/>
      <c r="P170" s="77"/>
      <c r="Q170" s="77"/>
      <c r="R170" s="77"/>
      <c r="S170" s="77"/>
      <c r="T170" s="95"/>
      <c r="U170" s="95"/>
      <c r="V170" s="95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 spans="1:32" ht="14.4" customHeight="1" x14ac:dyDescent="0.25">
      <c r="A171" s="77"/>
      <c r="B171" s="77"/>
      <c r="C171" s="77"/>
      <c r="D171" s="77"/>
      <c r="E171" s="77"/>
      <c r="F171" s="77"/>
      <c r="G171" s="77"/>
      <c r="H171" s="77"/>
      <c r="I171" s="77"/>
      <c r="J171" s="90"/>
      <c r="K171" s="91"/>
      <c r="L171" s="91"/>
      <c r="M171" s="77"/>
      <c r="N171" s="77"/>
      <c r="O171" s="77"/>
      <c r="P171" s="77"/>
      <c r="Q171" s="77"/>
      <c r="R171" s="77"/>
      <c r="S171" s="77"/>
      <c r="T171" s="95"/>
      <c r="U171" s="95"/>
      <c r="V171" s="95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 spans="1:32" ht="14.4" customHeight="1" x14ac:dyDescent="0.25">
      <c r="A172" s="77"/>
      <c r="B172" s="77"/>
      <c r="C172" s="77"/>
      <c r="D172" s="77"/>
      <c r="E172" s="77"/>
      <c r="F172" s="77"/>
      <c r="G172" s="77"/>
      <c r="H172" s="77"/>
      <c r="I172" s="77"/>
      <c r="J172" s="90"/>
      <c r="K172" s="91"/>
      <c r="L172" s="91"/>
      <c r="M172" s="77"/>
      <c r="N172" s="77"/>
      <c r="O172" s="77"/>
      <c r="P172" s="77"/>
      <c r="Q172" s="77"/>
      <c r="R172" s="77"/>
      <c r="S172" s="77"/>
      <c r="T172" s="95"/>
      <c r="U172" s="95"/>
      <c r="V172" s="95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 spans="1:32" ht="14.4" customHeight="1" x14ac:dyDescent="0.25">
      <c r="A173" s="77"/>
      <c r="B173" s="77"/>
      <c r="C173" s="77"/>
      <c r="D173" s="77"/>
      <c r="E173" s="77"/>
      <c r="F173" s="77"/>
      <c r="G173" s="77"/>
      <c r="H173" s="77"/>
      <c r="I173" s="77"/>
      <c r="J173" s="90"/>
      <c r="K173" s="91"/>
      <c r="L173" s="91"/>
      <c r="M173" s="77"/>
      <c r="N173" s="77"/>
      <c r="O173" s="77"/>
      <c r="P173" s="77"/>
      <c r="Q173" s="77"/>
      <c r="R173" s="77"/>
      <c r="S173" s="77"/>
      <c r="T173" s="95"/>
      <c r="U173" s="95"/>
      <c r="V173" s="95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 spans="1:32" ht="14.4" customHeight="1" x14ac:dyDescent="0.25">
      <c r="A174" s="77"/>
      <c r="B174" s="77"/>
      <c r="C174" s="77"/>
      <c r="D174" s="77"/>
      <c r="E174" s="77"/>
      <c r="F174" s="77"/>
      <c r="G174" s="77"/>
      <c r="H174" s="77"/>
      <c r="I174" s="77"/>
      <c r="J174" s="90"/>
      <c r="K174" s="91"/>
      <c r="L174" s="91"/>
      <c r="M174" s="77"/>
      <c r="N174" s="77"/>
      <c r="O174" s="77"/>
      <c r="P174" s="77"/>
      <c r="Q174" s="77"/>
      <c r="R174" s="77"/>
      <c r="S174" s="77"/>
      <c r="T174" s="95"/>
      <c r="U174" s="95"/>
      <c r="V174" s="95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 spans="1:32" ht="14.4" customHeight="1" x14ac:dyDescent="0.25">
      <c r="A175" s="77"/>
      <c r="B175" s="77"/>
      <c r="C175" s="77"/>
      <c r="D175" s="77"/>
      <c r="E175" s="77"/>
      <c r="F175" s="77"/>
      <c r="G175" s="77"/>
      <c r="H175" s="77"/>
      <c r="I175" s="77"/>
      <c r="J175" s="90"/>
      <c r="K175" s="91"/>
      <c r="L175" s="91"/>
      <c r="M175" s="77"/>
      <c r="N175" s="77"/>
      <c r="O175" s="77"/>
      <c r="P175" s="77"/>
      <c r="Q175" s="77"/>
      <c r="R175" s="77"/>
      <c r="S175" s="77"/>
      <c r="T175" s="95"/>
      <c r="U175" s="95"/>
      <c r="V175" s="95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 spans="1:32" ht="14.4" customHeight="1" x14ac:dyDescent="0.25">
      <c r="A176" s="77"/>
      <c r="B176" s="77"/>
      <c r="C176" s="77"/>
      <c r="D176" s="77"/>
      <c r="E176" s="77"/>
      <c r="F176" s="77"/>
      <c r="G176" s="77"/>
      <c r="H176" s="77"/>
      <c r="I176" s="77"/>
      <c r="J176" s="90"/>
      <c r="K176" s="91"/>
      <c r="L176" s="91"/>
      <c r="M176" s="77"/>
      <c r="N176" s="77"/>
      <c r="O176" s="77"/>
      <c r="P176" s="77"/>
      <c r="Q176" s="77"/>
      <c r="R176" s="77"/>
      <c r="S176" s="77"/>
      <c r="T176" s="95"/>
      <c r="U176" s="95"/>
      <c r="V176" s="95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 spans="1:32" ht="14.4" customHeight="1" x14ac:dyDescent="0.25">
      <c r="A177" s="77"/>
      <c r="B177" s="77"/>
      <c r="C177" s="77"/>
      <c r="D177" s="77"/>
      <c r="E177" s="77"/>
      <c r="F177" s="77"/>
      <c r="G177" s="77"/>
      <c r="H177" s="77"/>
      <c r="I177" s="77"/>
      <c r="J177" s="90"/>
      <c r="K177" s="91"/>
      <c r="L177" s="91"/>
      <c r="M177" s="77"/>
      <c r="N177" s="77"/>
      <c r="O177" s="77"/>
      <c r="P177" s="77"/>
      <c r="Q177" s="77"/>
      <c r="R177" s="77"/>
      <c r="S177" s="77"/>
      <c r="T177" s="95"/>
      <c r="U177" s="95"/>
      <c r="V177" s="95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 spans="1:32" ht="14.4" customHeight="1" x14ac:dyDescent="0.25">
      <c r="A178" s="77"/>
      <c r="B178" s="77"/>
      <c r="C178" s="77"/>
      <c r="D178" s="77"/>
      <c r="E178" s="77"/>
      <c r="F178" s="77"/>
      <c r="G178" s="77"/>
      <c r="H178" s="77"/>
      <c r="I178" s="77"/>
      <c r="J178" s="90"/>
      <c r="K178" s="91"/>
      <c r="L178" s="91"/>
      <c r="M178" s="77"/>
      <c r="N178" s="77"/>
      <c r="O178" s="77"/>
      <c r="P178" s="77"/>
      <c r="Q178" s="77"/>
      <c r="R178" s="77"/>
      <c r="S178" s="77"/>
      <c r="T178" s="95"/>
      <c r="U178" s="95"/>
      <c r="V178" s="95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 spans="1:32" ht="14.4" customHeight="1" x14ac:dyDescent="0.25">
      <c r="A179" s="77"/>
      <c r="B179" s="77"/>
      <c r="C179" s="77"/>
      <c r="D179" s="77"/>
      <c r="E179" s="77"/>
      <c r="F179" s="77"/>
      <c r="G179" s="77"/>
      <c r="H179" s="77"/>
      <c r="I179" s="77"/>
      <c r="J179" s="90"/>
      <c r="K179" s="91"/>
      <c r="L179" s="91"/>
      <c r="M179" s="77"/>
      <c r="N179" s="77"/>
      <c r="O179" s="77"/>
      <c r="P179" s="77"/>
      <c r="Q179" s="77"/>
      <c r="R179" s="77"/>
      <c r="S179" s="77"/>
      <c r="T179" s="95"/>
      <c r="U179" s="95"/>
      <c r="V179" s="95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 spans="1:32" ht="14.4" customHeight="1" x14ac:dyDescent="0.25">
      <c r="A180" s="77"/>
      <c r="B180" s="77"/>
      <c r="C180" s="77"/>
      <c r="D180" s="77"/>
      <c r="E180" s="77"/>
      <c r="F180" s="77"/>
      <c r="G180" s="77"/>
      <c r="H180" s="77"/>
      <c r="I180" s="77"/>
      <c r="J180" s="90"/>
      <c r="K180" s="91"/>
      <c r="L180" s="91"/>
      <c r="M180" s="77"/>
      <c r="N180" s="77"/>
      <c r="O180" s="77"/>
      <c r="P180" s="77"/>
      <c r="Q180" s="77"/>
      <c r="R180" s="77"/>
      <c r="S180" s="77"/>
      <c r="T180" s="95"/>
      <c r="U180" s="95"/>
      <c r="V180" s="95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 spans="1:32" ht="14.4" customHeight="1" x14ac:dyDescent="0.25">
      <c r="A181" s="77"/>
      <c r="B181" s="77"/>
      <c r="C181" s="77"/>
      <c r="D181" s="77"/>
      <c r="E181" s="77"/>
      <c r="F181" s="77"/>
      <c r="G181" s="77"/>
      <c r="H181" s="77"/>
      <c r="I181" s="77"/>
      <c r="J181" s="90"/>
      <c r="K181" s="91"/>
      <c r="L181" s="91"/>
      <c r="M181" s="77"/>
      <c r="N181" s="77"/>
      <c r="O181" s="77"/>
      <c r="P181" s="77"/>
      <c r="Q181" s="77"/>
      <c r="R181" s="77"/>
      <c r="S181" s="77"/>
      <c r="T181" s="95"/>
      <c r="U181" s="95"/>
      <c r="V181" s="95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 spans="1:32" ht="14.4" customHeight="1" x14ac:dyDescent="0.25">
      <c r="A182" s="77"/>
      <c r="B182" s="77"/>
      <c r="C182" s="77"/>
      <c r="D182" s="77"/>
      <c r="E182" s="77"/>
      <c r="F182" s="77"/>
      <c r="G182" s="77"/>
      <c r="H182" s="77"/>
      <c r="I182" s="77"/>
      <c r="J182" s="90"/>
      <c r="K182" s="91"/>
      <c r="L182" s="91"/>
      <c r="M182" s="77"/>
      <c r="N182" s="77"/>
      <c r="O182" s="77"/>
      <c r="P182" s="77"/>
      <c r="Q182" s="77"/>
      <c r="R182" s="77"/>
      <c r="S182" s="77"/>
      <c r="T182" s="95"/>
      <c r="U182" s="95"/>
      <c r="V182" s="95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 spans="1:32" ht="14.4" customHeight="1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90"/>
      <c r="K183" s="91"/>
      <c r="L183" s="91"/>
      <c r="M183" s="77"/>
      <c r="N183" s="77"/>
      <c r="O183" s="77"/>
      <c r="P183" s="77"/>
      <c r="Q183" s="77"/>
      <c r="R183" s="77"/>
      <c r="S183" s="77"/>
      <c r="T183" s="95"/>
      <c r="U183" s="95"/>
      <c r="V183" s="95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 spans="1:32" ht="14.4" customHeight="1" x14ac:dyDescent="0.25">
      <c r="A184" s="77"/>
      <c r="B184" s="77"/>
      <c r="C184" s="77"/>
      <c r="D184" s="77"/>
      <c r="E184" s="77"/>
      <c r="F184" s="77"/>
      <c r="G184" s="77"/>
      <c r="H184" s="77"/>
      <c r="I184" s="77"/>
      <c r="J184" s="90"/>
      <c r="K184" s="91"/>
      <c r="L184" s="91"/>
      <c r="M184" s="77"/>
      <c r="N184" s="77"/>
      <c r="O184" s="77"/>
      <c r="P184" s="77"/>
      <c r="Q184" s="77"/>
      <c r="R184" s="77"/>
      <c r="S184" s="77"/>
      <c r="T184" s="95"/>
      <c r="U184" s="95"/>
      <c r="V184" s="95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 spans="1:32" ht="14.4" customHeight="1" x14ac:dyDescent="0.25">
      <c r="A185" s="77"/>
      <c r="B185" s="77"/>
      <c r="C185" s="77"/>
      <c r="D185" s="77"/>
      <c r="E185" s="77"/>
      <c r="F185" s="77"/>
      <c r="G185" s="77"/>
      <c r="H185" s="77"/>
      <c r="I185" s="77"/>
      <c r="J185" s="90"/>
      <c r="K185" s="91"/>
      <c r="L185" s="91"/>
      <c r="M185" s="77"/>
      <c r="N185" s="77"/>
      <c r="O185" s="77"/>
      <c r="P185" s="77"/>
      <c r="Q185" s="77"/>
      <c r="R185" s="77"/>
      <c r="S185" s="77"/>
      <c r="T185" s="95"/>
      <c r="U185" s="95"/>
      <c r="V185" s="95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 spans="1:32" ht="14.4" customHeight="1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90"/>
      <c r="K186" s="91"/>
      <c r="L186" s="91"/>
      <c r="M186" s="77"/>
      <c r="N186" s="77"/>
      <c r="O186" s="77"/>
      <c r="P186" s="77"/>
      <c r="Q186" s="77"/>
      <c r="R186" s="77"/>
      <c r="S186" s="77"/>
      <c r="T186" s="95"/>
      <c r="U186" s="95"/>
      <c r="V186" s="95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 spans="1:32" ht="14.4" customHeight="1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90"/>
      <c r="K187" s="91"/>
      <c r="L187" s="91"/>
      <c r="M187" s="77"/>
      <c r="N187" s="77"/>
      <c r="O187" s="77"/>
      <c r="P187" s="77"/>
      <c r="Q187" s="77"/>
      <c r="R187" s="77"/>
      <c r="S187" s="77"/>
      <c r="T187" s="95"/>
      <c r="U187" s="95"/>
      <c r="V187" s="95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 spans="1:32" ht="14.4" customHeight="1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90"/>
      <c r="K188" s="91"/>
      <c r="L188" s="91"/>
      <c r="M188" s="77"/>
      <c r="N188" s="77"/>
      <c r="O188" s="77"/>
      <c r="P188" s="77"/>
      <c r="Q188" s="77"/>
      <c r="R188" s="77"/>
      <c r="S188" s="77"/>
      <c r="T188" s="95"/>
      <c r="U188" s="95"/>
      <c r="V188" s="95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 spans="1:32" ht="14.4" customHeight="1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90"/>
      <c r="K189" s="91"/>
      <c r="L189" s="91"/>
      <c r="M189" s="77"/>
      <c r="N189" s="77"/>
      <c r="O189" s="77"/>
      <c r="P189" s="77"/>
      <c r="Q189" s="77"/>
      <c r="R189" s="77"/>
      <c r="S189" s="77"/>
      <c r="T189" s="95"/>
      <c r="U189" s="95"/>
      <c r="V189" s="95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 spans="1:32" ht="14.4" customHeight="1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90"/>
      <c r="K190" s="91"/>
      <c r="L190" s="91"/>
      <c r="M190" s="77"/>
      <c r="N190" s="77"/>
      <c r="O190" s="77"/>
      <c r="P190" s="77"/>
      <c r="Q190" s="77"/>
      <c r="R190" s="77"/>
      <c r="S190" s="77"/>
      <c r="T190" s="95"/>
      <c r="U190" s="95"/>
      <c r="V190" s="95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 spans="1:32" ht="14.4" customHeight="1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90"/>
      <c r="K191" s="91"/>
      <c r="L191" s="91"/>
      <c r="M191" s="77"/>
      <c r="N191" s="77"/>
      <c r="O191" s="77"/>
      <c r="P191" s="77"/>
      <c r="Q191" s="77"/>
      <c r="R191" s="77"/>
      <c r="S191" s="77"/>
      <c r="T191" s="95"/>
      <c r="U191" s="95"/>
      <c r="V191" s="95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 spans="1:32" ht="14.4" customHeight="1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90"/>
      <c r="K192" s="91"/>
      <c r="L192" s="91"/>
      <c r="M192" s="77"/>
      <c r="N192" s="77"/>
      <c r="O192" s="77"/>
      <c r="P192" s="77"/>
      <c r="Q192" s="77"/>
      <c r="R192" s="77"/>
      <c r="S192" s="77"/>
      <c r="T192" s="95"/>
      <c r="U192" s="95"/>
      <c r="V192" s="95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 spans="1:32" ht="14.4" customHeight="1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90"/>
      <c r="K193" s="91"/>
      <c r="L193" s="91"/>
      <c r="M193" s="77"/>
      <c r="N193" s="77"/>
      <c r="O193" s="77"/>
      <c r="P193" s="77"/>
      <c r="Q193" s="77"/>
      <c r="R193" s="77"/>
      <c r="S193" s="77"/>
      <c r="T193" s="95"/>
      <c r="U193" s="95"/>
      <c r="V193" s="95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 spans="1:32" ht="14.4" customHeight="1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90"/>
      <c r="K194" s="91"/>
      <c r="L194" s="91"/>
      <c r="M194" s="77"/>
      <c r="N194" s="77"/>
      <c r="O194" s="77"/>
      <c r="P194" s="77"/>
      <c r="Q194" s="77"/>
      <c r="R194" s="77"/>
      <c r="S194" s="77"/>
      <c r="T194" s="95"/>
      <c r="U194" s="95"/>
      <c r="V194" s="95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 spans="1:32" ht="14.4" customHeight="1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90"/>
      <c r="K195" s="91"/>
      <c r="L195" s="91"/>
      <c r="M195" s="77"/>
      <c r="N195" s="77"/>
      <c r="O195" s="77"/>
      <c r="P195" s="77"/>
      <c r="Q195" s="77"/>
      <c r="R195" s="77"/>
      <c r="S195" s="77"/>
      <c r="T195" s="95"/>
      <c r="U195" s="95"/>
      <c r="V195" s="95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 spans="1:32" ht="14.4" customHeight="1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90"/>
      <c r="K196" s="91"/>
      <c r="L196" s="91"/>
      <c r="M196" s="77"/>
      <c r="N196" s="77"/>
      <c r="O196" s="77"/>
      <c r="P196" s="77"/>
      <c r="Q196" s="77"/>
      <c r="R196" s="77"/>
      <c r="S196" s="77"/>
      <c r="T196" s="95"/>
      <c r="U196" s="95"/>
      <c r="V196" s="95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 spans="1:32" ht="14.4" customHeight="1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90"/>
      <c r="K197" s="91"/>
      <c r="L197" s="91"/>
      <c r="M197" s="77"/>
      <c r="N197" s="77"/>
      <c r="O197" s="77"/>
      <c r="P197" s="77"/>
      <c r="Q197" s="77"/>
      <c r="R197" s="77"/>
      <c r="S197" s="77"/>
      <c r="T197" s="95"/>
      <c r="U197" s="95"/>
      <c r="V197" s="95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 spans="1:32" ht="14.4" customHeight="1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90"/>
      <c r="K198" s="91"/>
      <c r="L198" s="91"/>
      <c r="M198" s="77"/>
      <c r="N198" s="77"/>
      <c r="O198" s="77"/>
      <c r="P198" s="77"/>
      <c r="Q198" s="77"/>
      <c r="R198" s="77"/>
      <c r="S198" s="77"/>
      <c r="T198" s="95"/>
      <c r="U198" s="95"/>
      <c r="V198" s="95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 spans="1:32" ht="14.4" customHeight="1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90"/>
      <c r="K199" s="91"/>
      <c r="L199" s="91"/>
      <c r="M199" s="77"/>
      <c r="N199" s="77"/>
      <c r="O199" s="77"/>
      <c r="P199" s="77"/>
      <c r="Q199" s="77"/>
      <c r="R199" s="77"/>
      <c r="S199" s="77"/>
      <c r="T199" s="95"/>
      <c r="U199" s="95"/>
      <c r="V199" s="95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 spans="1:32" ht="14.4" customHeight="1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 spans="1:32" ht="14.4" customHeight="1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 spans="1:32" ht="14.4" customHeight="1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 spans="1:32" ht="14.4" customHeight="1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 spans="1:32" ht="14.4" customHeight="1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 spans="1:32" ht="14.4" customHeight="1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 spans="1:32" ht="14.4" customHeight="1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 spans="1:32" ht="14.4" customHeight="1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 spans="1:32" ht="14.4" customHeight="1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 spans="1:32" ht="14.4" customHeight="1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 spans="1:32" ht="14.4" customHeight="1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 spans="1:32" ht="14.4" customHeight="1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 spans="1:32" ht="14.4" customHeight="1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 spans="1:32" ht="14.4" customHeight="1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 spans="1:32" ht="14.4" customHeight="1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 spans="1:32" ht="14.4" customHeight="1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 spans="1:32" ht="14.4" customHeight="1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 spans="1:32" ht="14.4" customHeight="1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 spans="1:32" ht="14.4" customHeight="1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 spans="1:32" ht="14.4" customHeight="1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 spans="1:32" ht="14.4" customHeight="1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 spans="1:32" ht="14.4" customHeight="1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 spans="1:32" ht="14.4" customHeight="1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 spans="1:32" ht="14.4" customHeight="1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 spans="1:32" ht="14.4" customHeight="1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 spans="1:32" ht="14.4" customHeight="1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 spans="1:32" ht="14.4" customHeight="1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 spans="1:32" ht="14.4" customHeight="1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 spans="1:32" ht="14.4" customHeight="1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 spans="1:32" ht="14.4" customHeight="1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 spans="1:32" ht="14.4" customHeight="1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 spans="1:32" ht="14.4" customHeight="1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 spans="1:32" ht="14.4" customHeight="1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 spans="1:32" ht="14.4" customHeight="1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 spans="1:32" ht="14.4" customHeight="1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 spans="1:32" ht="14.4" customHeight="1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 spans="1:32" ht="14.4" customHeight="1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 spans="1:32" ht="14.4" customHeight="1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 spans="1:32" ht="14.4" customHeight="1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 spans="1:32" ht="14.4" customHeight="1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 spans="1:32" ht="14.4" customHeight="1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 spans="1:32" ht="14.4" customHeight="1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 spans="1:32" ht="14.4" customHeight="1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 spans="1:32" ht="14.4" customHeight="1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 spans="1:32" ht="14.4" customHeight="1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 spans="1:32" ht="14.4" customHeight="1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 spans="1:32" ht="14.4" customHeight="1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 spans="1:32" ht="14.4" customHeight="1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 spans="1:32" ht="14.4" customHeight="1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 spans="1:32" ht="14.4" customHeight="1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</row>
    <row r="250" spans="1:32" ht="14.4" customHeight="1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 spans="1:32" ht="14.4" customHeight="1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 spans="1:32" ht="14.4" customHeight="1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 spans="1:32" ht="14.4" customHeight="1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 spans="1:32" ht="14.4" customHeight="1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 spans="1:32" ht="14.4" customHeight="1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 spans="1:32" ht="14.4" customHeight="1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 spans="1:32" ht="14.4" customHeight="1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 spans="1:32" ht="14.4" customHeight="1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 spans="1:32" ht="14.4" customHeight="1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 spans="1:32" ht="14.4" customHeight="1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 spans="1:32" ht="14.4" customHeight="1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 spans="1:32" ht="14.4" customHeight="1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 spans="1:32" ht="14.4" customHeight="1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 spans="1:32" ht="14.4" customHeight="1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 spans="1:32" ht="14.4" customHeight="1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 spans="1:32" ht="14.4" customHeight="1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 spans="1:32" ht="14.4" customHeight="1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 spans="1:32" ht="14.4" customHeight="1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 spans="1:32" ht="14.4" customHeight="1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 spans="1:32" ht="14.4" customHeight="1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 spans="1:32" ht="14.4" customHeight="1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 spans="1:32" ht="14.4" customHeight="1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 spans="1:32" ht="14.4" customHeight="1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 spans="1:32" ht="14.4" customHeight="1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 spans="1:32" ht="14.4" customHeight="1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 spans="1:32" ht="14.4" customHeight="1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 spans="1:32" ht="14.4" customHeight="1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 spans="1:32" ht="14.4" customHeight="1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 spans="1:32" ht="14.4" customHeight="1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 spans="1:32" ht="14.4" customHeight="1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 spans="1:32" ht="14.4" customHeight="1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 spans="1:32" ht="14.4" customHeight="1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 spans="1:32" ht="14.4" customHeight="1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 spans="1:32" ht="14.4" customHeight="1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 spans="1:32" ht="14.4" customHeight="1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 spans="1:32" ht="14.4" customHeight="1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 spans="1:32" ht="14.4" customHeight="1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 spans="1:32" ht="14.4" customHeight="1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 spans="1:32" ht="14.4" customHeight="1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 spans="1:32" ht="14.4" customHeight="1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 spans="1:32" ht="14.4" customHeight="1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 spans="1:32" ht="14.4" customHeight="1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 spans="1:32" ht="14.4" customHeight="1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 spans="1:32" ht="14.4" customHeight="1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 spans="1:32" ht="14.4" customHeight="1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 spans="1:32" ht="14.4" customHeight="1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 spans="1:32" ht="14.4" customHeight="1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 spans="1:32" ht="14.4" customHeight="1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 spans="1:32" ht="14.4" customHeight="1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 spans="1:32" ht="14.4" customHeight="1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 spans="1:32" ht="14.4" customHeight="1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 spans="1:32" ht="14.4" customHeight="1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 spans="1:32" ht="14.4" customHeight="1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 spans="1:32" ht="14.4" customHeight="1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 spans="1:32" ht="14.4" customHeight="1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 spans="1:32" ht="14.4" customHeight="1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 spans="1:32" ht="14.4" customHeight="1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 spans="1:32" ht="14.4" customHeight="1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 spans="1:32" ht="14.4" customHeight="1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 spans="1:32" ht="14.4" customHeight="1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 spans="1:32" ht="14.4" customHeight="1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 spans="1:32" ht="14.4" customHeight="1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 spans="1:32" ht="14.4" customHeight="1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 spans="1:32" ht="14.4" customHeight="1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 spans="1:32" ht="14.4" customHeight="1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 spans="1:32" ht="14.4" customHeight="1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 spans="1:32" ht="14.4" customHeight="1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 spans="1:32" ht="14.4" customHeight="1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 spans="1:32" ht="14.4" customHeight="1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 spans="1:32" ht="14.4" customHeight="1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 spans="1:32" ht="14.4" customHeight="1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 spans="1:32" ht="14.4" customHeight="1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 spans="1:32" ht="14.4" customHeight="1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 spans="1:32" ht="14.4" customHeight="1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 spans="1:32" ht="14.4" customHeight="1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 spans="1:32" ht="14.4" customHeight="1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 spans="1:32" ht="14.4" customHeight="1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 spans="1:32" ht="14.4" customHeight="1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 spans="1:32" ht="14.4" customHeight="1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 spans="1:32" ht="14.4" customHeight="1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 spans="1:32" ht="14.4" customHeight="1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 spans="1:32" ht="14.4" customHeight="1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 spans="1:32" ht="14.4" customHeight="1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 spans="1:32" ht="14.4" customHeight="1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 spans="1:32" ht="14.4" customHeight="1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 spans="1:32" ht="14.4" customHeight="1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 spans="1:32" ht="14.4" customHeight="1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 spans="1:32" ht="14.4" customHeight="1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 spans="1:32" ht="14.4" customHeight="1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 spans="1:32" ht="14.4" customHeight="1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 spans="1:32" ht="14.4" customHeight="1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 spans="1:32" ht="14.4" customHeight="1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 spans="1:32" ht="14.4" customHeight="1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 spans="1:32" ht="14.4" customHeight="1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 spans="1:32" ht="14.4" customHeight="1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 spans="1:32" ht="14.4" customHeight="1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 spans="1:32" ht="14.4" customHeight="1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 spans="1:32" ht="14.4" customHeight="1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 spans="1:32" ht="14.4" customHeight="1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 spans="1:32" ht="14.4" customHeight="1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 spans="1:32" ht="14.4" customHeight="1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 spans="1:32" ht="14.4" customHeight="1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 spans="1:32" ht="14.4" customHeight="1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 spans="1:32" ht="14.4" customHeight="1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 spans="1:32" ht="14.4" customHeight="1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 spans="1:32" ht="14.4" customHeight="1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 spans="1:32" ht="14.4" customHeight="1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 spans="1:32" ht="14.4" customHeight="1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 spans="1:32" ht="14.4" customHeight="1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 spans="1:32" ht="14.4" customHeight="1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 spans="1:32" ht="14.4" customHeight="1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 spans="1:32" ht="14.4" customHeight="1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 spans="1:32" ht="14.4" customHeight="1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 spans="1:32" ht="14.4" customHeight="1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 spans="1:32" ht="14.4" customHeight="1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 spans="1:32" ht="14.4" customHeight="1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 spans="1:32" ht="14.4" customHeight="1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 spans="1:32" ht="14.4" customHeight="1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 spans="1:32" ht="14.4" customHeight="1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 spans="1:32" ht="14.4" customHeight="1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 spans="1:32" ht="14.4" customHeight="1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 spans="1:32" ht="14.4" customHeight="1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 spans="1:32" ht="14.4" customHeight="1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 spans="1:32" ht="14.4" customHeight="1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 spans="1:32" ht="14.4" customHeight="1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 spans="1:32" ht="14.4" customHeight="1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 spans="1:32" ht="14.4" customHeight="1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 spans="1:32" ht="14.4" customHeight="1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 spans="1:32" ht="14.4" customHeight="1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 spans="1:32" ht="14.4" customHeight="1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 spans="1:32" ht="14.4" customHeight="1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 spans="1:32" ht="14.4" customHeight="1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 spans="1:32" ht="14.4" customHeight="1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 spans="1:32" ht="14.4" customHeight="1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 spans="1:32" ht="14.4" customHeight="1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 spans="1:32" ht="14.4" customHeight="1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 spans="1:32" ht="14.4" customHeight="1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 spans="1:32" ht="14.4" customHeight="1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 spans="1:32" ht="14.4" customHeight="1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 spans="1:32" ht="14.4" customHeight="1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 spans="1:32" ht="14.4" customHeight="1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 spans="1:32" ht="14.4" customHeight="1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 spans="1:32" ht="14.4" customHeight="1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 spans="1:32" ht="14.4" customHeight="1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 spans="1:32" ht="14.4" customHeight="1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 spans="1:32" ht="14.4" customHeight="1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 spans="1:32" ht="14.4" customHeight="1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 spans="1:32" ht="14.4" customHeight="1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 spans="1:32" ht="14.4" customHeight="1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 spans="1:32" ht="14.4" customHeight="1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 spans="1:32" ht="14.4" customHeight="1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 spans="1:32" ht="14.4" customHeight="1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 spans="1:32" ht="14.4" customHeight="1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 spans="1:32" ht="14.4" customHeight="1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 spans="1:32" ht="14.4" customHeight="1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 spans="1:32" ht="14.4" customHeight="1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 spans="1:32" ht="14.4" customHeight="1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 spans="1:32" ht="14.4" customHeight="1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 spans="1:32" ht="14.4" customHeight="1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 spans="1:32" ht="14.4" customHeight="1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 spans="1:32" ht="14.4" customHeight="1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 spans="1:32" ht="14.4" customHeight="1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 spans="1:32" ht="14.4" customHeight="1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 spans="1:32" ht="14.4" customHeight="1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 spans="1:32" ht="14.4" customHeight="1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 spans="1:32" ht="14.4" customHeight="1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 spans="1:32" ht="14.4" customHeight="1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 spans="1:32" ht="14.4" customHeight="1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 spans="1:32" ht="14.4" customHeight="1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 spans="1:32" ht="14.4" customHeight="1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 spans="1:32" ht="14.4" customHeight="1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 spans="1:32" ht="14.4" customHeight="1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 spans="1:32" ht="14.4" customHeight="1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 spans="1:32" ht="14.4" customHeight="1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 spans="1:32" ht="14.4" customHeight="1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 spans="1:32" ht="14.4" customHeight="1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 spans="1:32" ht="14.4" customHeight="1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 spans="1:32" ht="14.4" customHeight="1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 spans="1:32" ht="14.4" customHeight="1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 spans="1:32" ht="14.4" customHeight="1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 spans="1:32" ht="14.4" customHeight="1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 spans="1:32" ht="14.4" customHeight="1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 spans="1:32" ht="14.4" customHeight="1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 spans="1:32" ht="14.4" customHeight="1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 spans="1:32" ht="14.4" customHeight="1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 spans="1:32" ht="14.4" customHeight="1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 spans="1:32" ht="14.4" customHeight="1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 spans="1:32" ht="14.4" customHeight="1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 spans="1:32" ht="14.4" customHeight="1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 spans="1:32" ht="14.4" customHeight="1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 spans="1:32" ht="14.4" customHeight="1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 spans="1:32" ht="14.4" customHeight="1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 spans="1:32" ht="14.4" customHeight="1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 spans="1:32" ht="14.4" customHeight="1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 spans="1:32" ht="14.4" customHeight="1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 spans="1:32" ht="14.4" customHeight="1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 spans="1:32" ht="14.4" customHeight="1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 spans="1:32" ht="14.4" customHeight="1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 spans="1:32" ht="14.4" customHeight="1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 spans="1:32" ht="14.4" customHeight="1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 spans="1:32" ht="14.4" customHeight="1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 spans="1:32" ht="14.4" customHeight="1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 spans="1:32" ht="14.4" customHeight="1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 spans="1:32" ht="14.4" customHeight="1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 spans="1:32" ht="14.4" customHeight="1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 spans="1:32" ht="14.4" customHeight="1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 spans="1:32" ht="14.4" customHeight="1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 spans="1:32" ht="14.4" customHeight="1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 spans="1:32" ht="14.4" customHeight="1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 spans="1:32" ht="14.4" customHeight="1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 spans="1:32" ht="14.4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 spans="1:32" ht="14.4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 spans="1:32" ht="14.4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 spans="1:32" ht="14.4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 spans="1:32" ht="14.4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 spans="1:32" ht="14.4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 spans="1:32" ht="14.4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 spans="1:32" ht="14.4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 spans="1:32" ht="14.4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 spans="1:32" ht="14.4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 spans="1:32" ht="14.4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 spans="1:32" ht="14.4" customHeight="1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 spans="1:32" ht="14.4" customHeight="1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 spans="1:32" ht="14.4" customHeight="1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 spans="1:32" ht="14.4" customHeight="1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 spans="1:32" ht="14.4" customHeight="1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 spans="1:32" ht="14.4" customHeight="1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 spans="1:32" ht="14.4" customHeight="1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 spans="1:32" ht="14.4" customHeight="1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 spans="1:32" ht="14.4" customHeight="1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 spans="1:32" ht="14.4" customHeight="1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 spans="1:32" ht="14.4" customHeight="1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 spans="1:32" ht="14.4" customHeight="1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 spans="1:32" ht="14.4" customHeight="1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 spans="1:32" ht="14.4" customHeight="1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 spans="1:32" ht="14.4" customHeight="1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 spans="1:32" ht="14.4" customHeight="1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 spans="1:32" ht="14.4" customHeight="1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 spans="1:32" ht="14.4" customHeight="1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 spans="1:32" ht="14.4" customHeight="1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 spans="1:32" ht="14.4" customHeight="1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 spans="1:32" ht="14.4" customHeight="1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 spans="1:32" ht="14.4" customHeight="1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 spans="1:32" ht="14.4" customHeight="1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 spans="1:32" ht="14.4" customHeight="1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 spans="1:32" ht="14.4" customHeight="1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 spans="1:32" ht="14.4" customHeight="1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 spans="1:32" ht="14.4" customHeight="1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 spans="1:32" ht="14.4" customHeight="1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 spans="1:32" ht="14.4" customHeight="1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 spans="1:32" ht="14.4" customHeight="1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 spans="1:32" ht="14.4" customHeight="1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 spans="1:32" ht="14.4" customHeight="1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 spans="1:32" ht="14.4" customHeight="1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 spans="1:32" ht="14.4" customHeight="1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 spans="1:32" ht="14.4" customHeight="1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 spans="1:32" ht="14.4" customHeight="1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 spans="1:32" ht="14.4" customHeight="1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 spans="1:32" ht="14.4" customHeight="1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 spans="1:32" ht="14.4" customHeight="1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 spans="1:32" ht="14.4" customHeight="1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 spans="1:32" ht="14.4" customHeight="1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 spans="1:32" ht="14.4" customHeight="1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 spans="1:32" ht="14.4" customHeight="1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 spans="1:32" ht="14.4" customHeight="1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 spans="1:32" ht="14.4" customHeight="1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 spans="1:32" ht="14.4" customHeight="1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 spans="1:32" ht="14.4" customHeight="1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 spans="1:32" ht="14.4" customHeight="1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 spans="1:32" ht="14.4" customHeight="1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 spans="1:32" ht="14.4" customHeight="1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 spans="1:32" ht="14.4" customHeight="1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 spans="1:32" ht="14.4" customHeight="1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 spans="1:32" ht="14.4" customHeight="1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 spans="1:32" ht="14.4" customHeight="1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 spans="1:32" ht="14.4" customHeight="1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 spans="1:32" ht="14.4" customHeight="1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 spans="1:32" ht="14.4" customHeight="1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 spans="1:32" ht="14.4" customHeight="1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 spans="1:32" ht="14.4" customHeight="1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 spans="1:32" ht="14.4" customHeight="1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 spans="1:32" ht="14.4" customHeight="1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 spans="1:32" ht="14.4" customHeight="1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 spans="1:32" ht="14.4" customHeight="1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 spans="1:32" ht="14.4" customHeight="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 spans="1:32" ht="14.4" customHeight="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 spans="1:32" ht="14.4" customHeight="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 spans="1:32" ht="14.4" customHeight="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 spans="1:32" ht="14.4" customHeight="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 spans="1:32" ht="14.4" customHeight="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 spans="1:32" ht="14.4" customHeight="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 spans="1:32" ht="14.4" customHeight="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 spans="1:32" ht="14.4" customHeight="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 spans="1:32" ht="14.4" customHeight="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 spans="1:32" ht="14.4" customHeight="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 spans="1:32" ht="14.4" customHeight="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 spans="1:32" ht="14.4" customHeight="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 spans="1:32" ht="14.4" customHeight="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 spans="1:32" ht="14.4" customHeight="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 spans="1:32" ht="14.4" customHeight="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 spans="1:32" ht="14.4" customHeight="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 spans="1:32" ht="14.4" customHeight="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 spans="1:32" ht="14.4" customHeight="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 spans="1:32" ht="14.4" customHeight="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 spans="1:32" ht="14.4" customHeight="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 spans="1:32" ht="14.4" customHeight="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 spans="1:32" ht="14.4" customHeight="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 spans="1:32" ht="14.4" customHeight="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 spans="1:32" ht="14.4" customHeight="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 spans="1:32" ht="14.4" customHeight="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 spans="1:32" ht="14.4" customHeight="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 spans="1:32" ht="14.4" customHeight="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 spans="1:32" ht="14.4" customHeight="1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 spans="1:32" ht="14.4" customHeight="1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 spans="1:32" ht="14.4" customHeight="1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 spans="1:32" ht="14.4" customHeight="1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 spans="1:32" ht="14.4" customHeight="1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 spans="1:32" ht="14.4" customHeight="1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 spans="1:32" ht="14.4" customHeight="1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 spans="1:32" ht="14.4" customHeight="1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 spans="1:32" ht="14.4" customHeight="1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 spans="1:32" ht="14.4" customHeight="1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 spans="1:32" ht="14.4" customHeight="1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 spans="1:32" ht="14.4" customHeight="1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 spans="1:32" ht="14.4" customHeight="1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 spans="1:32" ht="14.4" customHeight="1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 spans="1:32" ht="14.4" customHeight="1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 spans="1:32" ht="14.4" customHeight="1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 spans="1:32" ht="14.4" customHeight="1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 spans="1:32" ht="14.4" customHeight="1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 spans="1:32" ht="14.4" customHeight="1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 spans="1:32" ht="14.4" customHeight="1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 spans="1:32" ht="14.4" customHeight="1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 spans="1:32" ht="14.4" customHeight="1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 spans="1:32" ht="14.4" customHeight="1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 spans="1:32" ht="14.4" customHeight="1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 spans="1:32" ht="14.4" customHeight="1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 spans="1:32" ht="14.4" customHeight="1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 spans="1:32" ht="14.4" customHeight="1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 spans="1:32" ht="14.4" customHeight="1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 spans="1:32" ht="14.4" customHeight="1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 spans="1:32" ht="14.4" customHeight="1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 spans="1:32" ht="14.4" customHeight="1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 spans="1:32" ht="14.4" customHeight="1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 spans="1:32" ht="14.4" customHeight="1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 spans="1:32" ht="14.4" customHeight="1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 spans="1:32" ht="14.4" customHeight="1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 spans="1:32" ht="14.4" customHeight="1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 spans="1:32" ht="14.4" customHeight="1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 spans="1:32" ht="14.4" customHeight="1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 spans="1:32" ht="14.4" customHeight="1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 spans="1:32" ht="14.4" customHeight="1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 spans="1:32" ht="14.4" customHeight="1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 spans="1:32" ht="14.4" customHeight="1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 spans="1:32" ht="14.4" customHeight="1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 spans="1:32" ht="14.4" customHeight="1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 spans="1:32" ht="14.4" customHeight="1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 spans="1:32" ht="14.4" customHeight="1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 spans="1:32" ht="14.4" customHeight="1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 spans="1:32" ht="14.4" customHeight="1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 spans="1:32" ht="14.4" customHeight="1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 spans="1:32" ht="14.4" customHeight="1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 spans="1:32" ht="14.4" customHeight="1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 spans="1:32" ht="14.4" customHeight="1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 spans="1:32" ht="14.4" customHeight="1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 spans="1:32" ht="14.4" customHeight="1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 spans="1:32" ht="14.4" customHeight="1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 spans="1:32" ht="14.4" customHeight="1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 spans="1:32" ht="14.4" customHeight="1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 spans="1:32" ht="14.4" customHeight="1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 spans="1:32" ht="14.4" customHeight="1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 spans="1:32" ht="14.4" customHeight="1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 spans="1:32" ht="14.4" customHeight="1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 spans="1:32" ht="14.4" customHeight="1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 spans="1:32" ht="14.4" customHeight="1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 spans="1:32" ht="14.4" customHeight="1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 spans="1:32" ht="14.4" customHeight="1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 spans="1:32" ht="14.4" customHeight="1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 spans="1:32" ht="14.4" customHeight="1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 spans="1:32" ht="14.4" customHeight="1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 spans="1:32" ht="14.4" customHeight="1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 spans="1:32" ht="14.4" customHeight="1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 spans="1:32" ht="14.4" customHeight="1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 spans="1:32" ht="14.4" customHeight="1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 spans="1:32" ht="14.4" customHeight="1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 spans="1:32" ht="14.4" customHeight="1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 spans="1:32" ht="14.4" customHeight="1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 spans="1:32" ht="14.4" customHeight="1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 spans="1:32" ht="14.4" customHeight="1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 spans="1:32" ht="14.4" customHeight="1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 spans="1:32" ht="14.4" customHeight="1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 spans="1:32" ht="14.4" customHeight="1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 spans="1:32" ht="14.4" customHeight="1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 spans="1:32" ht="14.4" customHeight="1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 spans="1:32" ht="14.4" customHeight="1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 spans="1:32" ht="14.4" customHeight="1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 spans="1:32" ht="14.4" customHeight="1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 spans="1:32" ht="14.4" customHeight="1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 spans="1:32" ht="14.4" customHeight="1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 spans="1:32" ht="14.4" customHeight="1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 spans="1:32" ht="14.4" customHeight="1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 spans="1:32" ht="14.4" customHeight="1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 spans="1:32" ht="14.4" customHeight="1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 spans="1:32" ht="14.4" customHeight="1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 spans="1:32" ht="14.4" customHeight="1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 spans="1:32" ht="14.4" customHeight="1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 spans="1:32" ht="14.4" customHeight="1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 spans="1:32" ht="14.4" customHeight="1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 spans="1:32" ht="14.4" customHeight="1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 spans="1:32" ht="14.4" customHeight="1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 spans="1:32" ht="14.4" customHeight="1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 spans="1:32" ht="14.4" customHeight="1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 spans="1:32" ht="14.4" customHeight="1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 spans="1:32" ht="14.4" customHeight="1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 spans="1:32" ht="14.4" customHeight="1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 spans="1:32" ht="14.4" customHeight="1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 spans="1:32" ht="14.4" customHeight="1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 spans="1:32" ht="14.4" customHeight="1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 spans="1:32" ht="14.4" customHeight="1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 spans="1:32" ht="14.4" customHeight="1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 spans="1:32" ht="14.4" customHeight="1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 spans="1:32" ht="14.4" customHeight="1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 spans="1:32" ht="14.4" customHeight="1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 spans="1:32" ht="14.4" customHeight="1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 spans="1:32" ht="14.4" customHeight="1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 spans="1:32" ht="14.4" customHeight="1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 spans="1:32" ht="14.4" customHeight="1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 spans="1:32" ht="14.4" customHeight="1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 spans="1:32" ht="14.4" customHeight="1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 spans="1:32" ht="14.4" customHeight="1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 spans="1:32" ht="14.4" customHeight="1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 spans="1:32" ht="14.4" customHeight="1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 spans="1:32" ht="14.4" customHeight="1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 spans="1:32" ht="14.4" customHeight="1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 spans="1:32" ht="14.4" customHeight="1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 spans="1:32" ht="14.4" customHeight="1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 spans="1:32" ht="14.4" customHeight="1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 spans="1:32" ht="14.4" customHeight="1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 spans="1:32" ht="14.4" customHeight="1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 spans="1:32" ht="14.4" customHeight="1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 spans="1:32" ht="14.4" customHeight="1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 spans="1:32" ht="14.4" customHeight="1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 spans="1:32" ht="14.4" customHeight="1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 spans="1:32" ht="14.4" customHeight="1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 spans="1:32" ht="14.4" customHeight="1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 spans="1:32" ht="14.4" customHeight="1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 spans="1:32" ht="14.4" customHeight="1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 spans="1:32" ht="14.4" customHeight="1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 spans="1:32" ht="14.4" customHeight="1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 spans="1:32" ht="14.4" customHeight="1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 spans="1:32" ht="14.4" customHeight="1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 spans="1:32" ht="14.4" customHeight="1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 spans="1:32" ht="14.4" customHeight="1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 spans="1:32" ht="14.4" customHeight="1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 spans="1:32" ht="14.4" customHeight="1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 spans="1:32" ht="14.4" customHeight="1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 spans="1:32" ht="14.4" customHeight="1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 spans="1:32" ht="14.4" customHeight="1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 spans="1:32" ht="14.4" customHeight="1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 spans="1:32" ht="14.4" customHeight="1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 spans="1:32" ht="14.4" customHeight="1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 spans="1:32" ht="14.4" customHeight="1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 spans="1:32" ht="14.4" customHeight="1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 spans="1:32" ht="14.4" customHeight="1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 spans="1:32" ht="14.4" customHeight="1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 spans="1:32" ht="14.4" customHeight="1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 spans="1:32" ht="14.4" customHeight="1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 spans="1:32" ht="14.4" customHeight="1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 spans="1:32" ht="14.4" customHeight="1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 spans="1:32" ht="14.4" customHeight="1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 spans="1:32" ht="14.4" customHeight="1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 spans="1:32" ht="14.4" customHeight="1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 spans="1:32" ht="14.4" customHeight="1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 spans="1:32" ht="14.4" customHeight="1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 spans="1:32" ht="14.4" customHeight="1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 spans="1:32" ht="14.4" customHeight="1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 spans="1:32" ht="14.4" customHeight="1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 spans="1:32" ht="14.4" customHeight="1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 spans="1:32" ht="14.4" customHeight="1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 spans="1:32" ht="14.4" customHeight="1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 spans="1:32" ht="14.4" customHeight="1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 spans="1:32" ht="14.4" customHeight="1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 spans="1:32" ht="14.4" customHeight="1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 spans="1:32" ht="14.4" customHeight="1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 spans="1:32" ht="14.4" customHeight="1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 spans="1:32" ht="14.4" customHeight="1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 spans="1:32" ht="14.4" customHeight="1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 spans="1:32" ht="14.4" customHeight="1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 spans="1:32" ht="14.4" customHeight="1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 spans="1:32" ht="14.4" customHeight="1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 spans="1:32" ht="14.4" customHeight="1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 spans="1:32" ht="14.4" customHeight="1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 spans="1:32" ht="14.4" customHeight="1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 spans="1:32" ht="14.4" customHeight="1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 spans="1:32" ht="14.4" customHeight="1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 spans="1:32" ht="14.4" customHeight="1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 spans="1:32" ht="14.4" customHeight="1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 spans="1:32" ht="14.4" customHeight="1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 spans="1:32" ht="14.4" customHeight="1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 spans="1:32" ht="14.4" customHeight="1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 spans="1:32" ht="14.4" customHeight="1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 spans="1:32" ht="14.4" customHeight="1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 spans="1:32" ht="14.4" customHeight="1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 spans="1:32" ht="14.4" customHeight="1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 spans="1:32" ht="14.4" customHeight="1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 spans="1:32" ht="14.4" customHeight="1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 spans="1:32" ht="14.4" customHeight="1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 spans="1:32" ht="14.4" customHeight="1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 spans="1:32" ht="14.4" customHeight="1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 spans="1:32" ht="14.4" customHeight="1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 spans="1:32" ht="14.4" customHeight="1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 spans="1:32" ht="14.4" customHeight="1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 spans="1:32" ht="14.4" customHeight="1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 spans="1:32" ht="14.4" customHeight="1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 spans="1:32" ht="14.4" customHeight="1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 spans="1:32" ht="14.4" customHeight="1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 spans="1:32" ht="14.4" customHeight="1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 spans="1:32" ht="14.4" customHeight="1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 spans="1:32" ht="14.4" customHeight="1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 spans="1:32" ht="14.4" customHeight="1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 spans="1:32" ht="14.4" customHeight="1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 spans="1:32" ht="14.4" customHeight="1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 spans="1:32" ht="14.4" customHeight="1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 spans="1:32" ht="14.4" customHeight="1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 spans="1:32" ht="14.4" customHeight="1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 spans="1:32" ht="14.4" customHeight="1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 spans="1:32" ht="14.4" customHeight="1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 spans="1:32" ht="14.4" customHeight="1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 spans="1:32" ht="14.4" customHeight="1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 spans="1:32" ht="14.4" customHeight="1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 spans="1:32" ht="14.4" customHeight="1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 spans="1:32" ht="14.4" customHeight="1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 spans="1:32" ht="14.4" customHeight="1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 spans="1:32" ht="14.4" customHeight="1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 spans="1:32" ht="14.4" customHeight="1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 spans="1:32" ht="14.4" customHeight="1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 spans="1:32" ht="14.4" customHeight="1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 spans="1:32" ht="14.4" customHeight="1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 spans="1:32" ht="14.4" customHeight="1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 spans="1:32" ht="14.4" customHeight="1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 spans="1:32" ht="14.4" customHeight="1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 spans="1:32" ht="14.4" customHeight="1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 spans="1:32" ht="14.4" customHeight="1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 spans="1:32" ht="14.4" customHeight="1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 spans="1:32" ht="14.4" customHeight="1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 spans="1:32" ht="14.4" customHeight="1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 spans="1:32" ht="14.4" customHeight="1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 spans="1:32" ht="14.4" customHeight="1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 spans="1:32" ht="14.4" customHeight="1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 spans="1:32" ht="14.4" customHeight="1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 spans="1:32" ht="14.4" customHeight="1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 spans="1:32" ht="14.4" customHeight="1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 spans="1:32" ht="14.4" customHeight="1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 spans="1:32" ht="14.4" customHeight="1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 spans="1:32" ht="14.4" customHeight="1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 spans="1:32" ht="14.4" customHeight="1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 spans="1:32" ht="14.4" customHeight="1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 spans="1:32" ht="14.4" customHeight="1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 spans="1:32" ht="14.4" customHeight="1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 spans="1:32" ht="14.4" customHeight="1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 spans="1:32" ht="14.4" customHeight="1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 spans="1:32" ht="14.4" customHeight="1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 spans="1:32" ht="14.4" customHeight="1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 spans="1:32" ht="14.4" customHeight="1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 spans="1:32" ht="14.4" customHeight="1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 spans="1:32" ht="14.4" customHeight="1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 spans="1:32" ht="14.4" customHeight="1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 spans="1:32" ht="14.4" customHeight="1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 spans="1:32" ht="14.4" customHeight="1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</sheetData>
  <mergeCells count="115">
    <mergeCell ref="S6:W6"/>
    <mergeCell ref="E7:F7"/>
    <mergeCell ref="H7:I7"/>
    <mergeCell ref="S8:W8"/>
    <mergeCell ref="B9:C9"/>
    <mergeCell ref="E9:F9"/>
    <mergeCell ref="H9:I9"/>
    <mergeCell ref="S9:W9"/>
    <mergeCell ref="A1:W1"/>
    <mergeCell ref="B3:C3"/>
    <mergeCell ref="D3:K3"/>
    <mergeCell ref="B5:C5"/>
    <mergeCell ref="E5:F5"/>
    <mergeCell ref="H5:I5"/>
    <mergeCell ref="S5:W5"/>
    <mergeCell ref="B13:C13"/>
    <mergeCell ref="E13:F13"/>
    <mergeCell ref="H13:I13"/>
    <mergeCell ref="B15:W15"/>
    <mergeCell ref="E10:F10"/>
    <mergeCell ref="H10:I10"/>
    <mergeCell ref="S10:W10"/>
    <mergeCell ref="E11:F11"/>
    <mergeCell ref="H11:I11"/>
    <mergeCell ref="B16:W16"/>
    <mergeCell ref="C17:H17"/>
    <mergeCell ref="I17:L17"/>
    <mergeCell ref="M17:N17"/>
    <mergeCell ref="S17:W17"/>
    <mergeCell ref="I18:L18"/>
    <mergeCell ref="M18:N18"/>
    <mergeCell ref="S18:W18"/>
    <mergeCell ref="C18:G18"/>
    <mergeCell ref="M21:N21"/>
    <mergeCell ref="S21:W21"/>
    <mergeCell ref="I22:L22"/>
    <mergeCell ref="M22:N22"/>
    <mergeCell ref="S22:W22"/>
    <mergeCell ref="D19:G22"/>
    <mergeCell ref="I19:L19"/>
    <mergeCell ref="M19:N19"/>
    <mergeCell ref="S19:W19"/>
    <mergeCell ref="I20:L20"/>
    <mergeCell ref="M20:N20"/>
    <mergeCell ref="S20:W20"/>
    <mergeCell ref="I21:L21"/>
    <mergeCell ref="M25:N25"/>
    <mergeCell ref="S25:W25"/>
    <mergeCell ref="I26:L26"/>
    <mergeCell ref="M26:N26"/>
    <mergeCell ref="S26:W26"/>
    <mergeCell ref="I23:L23"/>
    <mergeCell ref="M23:N23"/>
    <mergeCell ref="S23:W23"/>
    <mergeCell ref="I24:L24"/>
    <mergeCell ref="M24:N24"/>
    <mergeCell ref="S24:W24"/>
    <mergeCell ref="I25:L25"/>
    <mergeCell ref="M30:N30"/>
    <mergeCell ref="S30:W30"/>
    <mergeCell ref="I28:L28"/>
    <mergeCell ref="M28:N28"/>
    <mergeCell ref="S28:W28"/>
    <mergeCell ref="I29:L29"/>
    <mergeCell ref="M29:N29"/>
    <mergeCell ref="S29:W29"/>
    <mergeCell ref="I30:L30"/>
    <mergeCell ref="D27:G30"/>
    <mergeCell ref="I27:L27"/>
    <mergeCell ref="M27:N27"/>
    <mergeCell ref="S27:W27"/>
    <mergeCell ref="B19:B30"/>
    <mergeCell ref="C19:C30"/>
    <mergeCell ref="D23:G26"/>
    <mergeCell ref="M40:N40"/>
    <mergeCell ref="S40:W40"/>
    <mergeCell ref="I38:L38"/>
    <mergeCell ref="M38:N38"/>
    <mergeCell ref="S38:W38"/>
    <mergeCell ref="I39:L39"/>
    <mergeCell ref="M39:N39"/>
    <mergeCell ref="S39:W39"/>
    <mergeCell ref="I40:L40"/>
    <mergeCell ref="M35:N35"/>
    <mergeCell ref="S35:W35"/>
    <mergeCell ref="I36:L36"/>
    <mergeCell ref="M36:N36"/>
    <mergeCell ref="S36:W36"/>
    <mergeCell ref="I37:L37"/>
    <mergeCell ref="M37:N37"/>
    <mergeCell ref="S37:W37"/>
    <mergeCell ref="D39:G42"/>
    <mergeCell ref="B31:B42"/>
    <mergeCell ref="C31:C42"/>
    <mergeCell ref="D31:G34"/>
    <mergeCell ref="I31:L31"/>
    <mergeCell ref="M31:N31"/>
    <mergeCell ref="S31:W31"/>
    <mergeCell ref="I32:L32"/>
    <mergeCell ref="M32:N32"/>
    <mergeCell ref="S32:W32"/>
    <mergeCell ref="D35:G38"/>
    <mergeCell ref="I41:L41"/>
    <mergeCell ref="M41:N41"/>
    <mergeCell ref="S41:W41"/>
    <mergeCell ref="I42:L42"/>
    <mergeCell ref="M42:N42"/>
    <mergeCell ref="S42:W42"/>
    <mergeCell ref="I33:L33"/>
    <mergeCell ref="M33:N33"/>
    <mergeCell ref="S33:W33"/>
    <mergeCell ref="I34:L34"/>
    <mergeCell ref="M34:N34"/>
    <mergeCell ref="S34:W34"/>
    <mergeCell ref="I35:L35"/>
  </mergeCells>
  <conditionalFormatting sqref="P18 P19:S43">
    <cfRule type="cellIs" dxfId="5" priority="1" operator="equal">
      <formula>"FAILED"</formula>
    </cfRule>
    <cfRule type="cellIs" dxfId="4" priority="2" operator="equal">
      <formula>"PASSED WITH CONDITION"</formula>
    </cfRule>
    <cfRule type="cellIs" dxfId="3" priority="3" operator="equal">
      <formula>"PASSED"</formula>
    </cfRule>
  </conditionalFormatting>
  <dataValidations count="1">
    <dataValidation type="list" allowBlank="1" showErrorMessage="1" sqref="P18:P43" xr:uid="{6606D5D7-D499-4AD5-9DBB-D679713C47E1}">
      <formula1>"PASSED,PASSED WITH CONDITION,FAILED,N/A"</formula1>
    </dataValidation>
  </dataValidations>
  <pageMargins left="0.7" right="0.7" top="0.75" bottom="0.75" header="0.3" footer="0.3"/>
  <pageSetup orientation="portrait" verticalDpi="0" r:id="rId1"/>
  <ignoredErrors>
    <ignoredError sqref="H18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/>
  </sheetViews>
  <sheetFormatPr defaultColWidth="14.44140625" defaultRowHeight="15" customHeight="1" x14ac:dyDescent="0.3"/>
  <cols>
    <col min="1" max="1" width="3.6640625" customWidth="1"/>
    <col min="2" max="2" width="2.6640625" customWidth="1"/>
    <col min="3" max="3" width="6.44140625" customWidth="1"/>
    <col min="4" max="4" width="3.44140625" customWidth="1"/>
    <col min="5" max="5" width="13" customWidth="1"/>
    <col min="6" max="6" width="20.44140625" customWidth="1"/>
    <col min="7" max="7" width="16.33203125" customWidth="1"/>
    <col min="8" max="8" width="9" customWidth="1"/>
    <col min="9" max="9" width="9.44140625" customWidth="1"/>
    <col min="10" max="10" width="19" customWidth="1"/>
    <col min="11" max="11" width="4.6640625" customWidth="1"/>
    <col min="12" max="26" width="8.6640625" customWidth="1"/>
  </cols>
  <sheetData>
    <row r="1" spans="1:26" ht="31.5" customHeight="1" x14ac:dyDescent="0.3">
      <c r="A1" s="406" t="s">
        <v>334</v>
      </c>
      <c r="B1" s="407"/>
      <c r="C1" s="407"/>
      <c r="D1" s="407"/>
      <c r="E1" s="407"/>
      <c r="F1" s="407"/>
      <c r="G1" s="407"/>
      <c r="H1" s="407"/>
      <c r="I1" s="407"/>
      <c r="J1" s="2"/>
      <c r="K1" s="3"/>
    </row>
    <row r="2" spans="1:26" ht="1.5" customHeight="1" x14ac:dyDescent="0.3">
      <c r="A2" s="4"/>
      <c r="B2" s="5"/>
      <c r="C2" s="5"/>
      <c r="D2" s="6"/>
      <c r="E2" s="3"/>
      <c r="F2" s="3"/>
      <c r="G2" s="3"/>
      <c r="H2" s="5"/>
      <c r="I2" s="5"/>
      <c r="J2" s="5"/>
      <c r="K2" s="5"/>
    </row>
    <row r="3" spans="1:26" ht="14.25" customHeight="1" x14ac:dyDescent="0.3">
      <c r="B3" s="408" t="s">
        <v>3</v>
      </c>
      <c r="C3" s="409"/>
      <c r="D3" s="409"/>
      <c r="E3" s="410"/>
      <c r="F3" s="409"/>
      <c r="G3" s="7"/>
      <c r="H3" s="8"/>
      <c r="I3" s="9" t="s">
        <v>0</v>
      </c>
      <c r="J3" s="10"/>
      <c r="K3" s="10"/>
    </row>
    <row r="4" spans="1:26" ht="15" customHeight="1" x14ac:dyDescent="0.3">
      <c r="B4" s="408" t="s">
        <v>6</v>
      </c>
      <c r="C4" s="409"/>
      <c r="D4" s="409"/>
      <c r="E4" s="7"/>
      <c r="F4" s="7"/>
      <c r="G4" s="7"/>
      <c r="H4" s="10"/>
      <c r="I4" s="9"/>
      <c r="J4" s="10"/>
      <c r="K4" s="10"/>
    </row>
    <row r="5" spans="1:26" ht="14.25" customHeight="1" x14ac:dyDescent="0.3">
      <c r="B5" s="408" t="s">
        <v>10</v>
      </c>
      <c r="C5" s="409"/>
      <c r="D5" s="409"/>
      <c r="E5" s="7"/>
      <c r="F5" s="7"/>
      <c r="G5" s="7"/>
      <c r="H5" s="10"/>
      <c r="I5" s="9" t="s">
        <v>4</v>
      </c>
      <c r="J5" s="11" t="s">
        <v>335</v>
      </c>
      <c r="K5" s="10"/>
    </row>
    <row r="6" spans="1:26" ht="14.25" customHeight="1" x14ac:dyDescent="0.3">
      <c r="B6" s="7"/>
      <c r="C6" s="10"/>
      <c r="D6" s="12"/>
      <c r="E6" s="7"/>
      <c r="F6" s="7"/>
      <c r="G6" s="7"/>
      <c r="H6" s="10"/>
      <c r="I6" s="9" t="s">
        <v>5</v>
      </c>
      <c r="J6" s="11" t="s">
        <v>336</v>
      </c>
      <c r="K6" s="10"/>
    </row>
    <row r="7" spans="1:26" ht="14.25" customHeight="1" x14ac:dyDescent="0.3">
      <c r="B7" s="7"/>
      <c r="C7" s="10"/>
      <c r="D7" s="12"/>
      <c r="E7" s="7"/>
      <c r="F7" s="7"/>
      <c r="G7" s="7"/>
      <c r="H7" s="10"/>
      <c r="I7" s="13"/>
      <c r="J7" s="10"/>
      <c r="K7" s="10"/>
    </row>
    <row r="8" spans="1:26" ht="14.25" customHeight="1" x14ac:dyDescent="0.3">
      <c r="B8" s="7"/>
      <c r="C8" s="10"/>
      <c r="D8" s="12"/>
      <c r="E8" s="7"/>
      <c r="F8" s="7"/>
      <c r="G8" s="7"/>
      <c r="H8" s="10"/>
      <c r="I8" s="13"/>
      <c r="J8" s="10"/>
      <c r="K8" s="10"/>
    </row>
    <row r="9" spans="1:26" ht="14.25" customHeight="1" x14ac:dyDescent="0.3">
      <c r="B9" s="7"/>
      <c r="C9" s="10"/>
      <c r="D9" s="12"/>
      <c r="E9" s="7"/>
      <c r="F9" s="7"/>
      <c r="G9" s="7"/>
      <c r="H9" s="10"/>
      <c r="I9" s="13"/>
      <c r="J9" s="8"/>
      <c r="K9" s="10"/>
    </row>
    <row r="10" spans="1:26" ht="14.25" customHeight="1" x14ac:dyDescent="0.3">
      <c r="B10" s="7"/>
      <c r="C10" s="10"/>
      <c r="D10" s="12"/>
      <c r="E10" s="7"/>
      <c r="F10" s="7"/>
      <c r="G10" s="7"/>
      <c r="H10" s="10"/>
      <c r="I10" s="197" t="s">
        <v>9</v>
      </c>
      <c r="J10" s="14" t="s">
        <v>337</v>
      </c>
      <c r="K10" s="10"/>
    </row>
    <row r="11" spans="1:26" ht="14.25" customHeight="1" x14ac:dyDescent="0.3">
      <c r="B11" s="7"/>
      <c r="C11" s="10"/>
      <c r="D11" s="12"/>
      <c r="E11" s="7"/>
      <c r="F11" s="7"/>
      <c r="G11" s="7"/>
      <c r="H11" s="10"/>
      <c r="I11" s="15">
        <f>E3</f>
        <v>0</v>
      </c>
      <c r="J11" s="16" t="s">
        <v>338</v>
      </c>
      <c r="K11" s="10"/>
    </row>
    <row r="12" spans="1:26" ht="14.25" customHeight="1" x14ac:dyDescent="0.3">
      <c r="B12" s="7"/>
      <c r="C12" s="10"/>
      <c r="D12" s="12"/>
      <c r="E12" s="7"/>
      <c r="F12" s="7"/>
      <c r="G12" s="7"/>
      <c r="H12" s="10"/>
      <c r="I12" s="17" t="s">
        <v>12</v>
      </c>
      <c r="J12" s="18" t="s">
        <v>339</v>
      </c>
      <c r="K12" s="10"/>
    </row>
    <row r="13" spans="1:26" ht="7.5" customHeight="1" x14ac:dyDescent="0.3">
      <c r="B13" s="7"/>
      <c r="C13" s="10"/>
      <c r="D13" s="12"/>
      <c r="E13" s="7"/>
      <c r="F13" s="7"/>
      <c r="G13" s="7"/>
      <c r="H13" s="10"/>
      <c r="I13" s="19"/>
      <c r="J13" s="20"/>
      <c r="K13" s="10"/>
    </row>
    <row r="14" spans="1:26" ht="13.5" customHeight="1" x14ac:dyDescent="0.3">
      <c r="B14" s="397" t="s">
        <v>340</v>
      </c>
      <c r="C14" s="398"/>
      <c r="D14" s="398"/>
      <c r="E14" s="398"/>
      <c r="F14" s="398"/>
      <c r="G14" s="198"/>
      <c r="H14" s="10"/>
      <c r="I14" s="19"/>
      <c r="J14" s="8"/>
      <c r="K14" s="10"/>
    </row>
    <row r="15" spans="1:26" ht="14.25" customHeight="1" x14ac:dyDescent="0.3">
      <c r="A15" s="21"/>
      <c r="B15" s="22" t="s">
        <v>27</v>
      </c>
      <c r="C15" s="199" t="s">
        <v>10</v>
      </c>
      <c r="D15" s="200"/>
      <c r="E15" s="399" t="s">
        <v>28</v>
      </c>
      <c r="F15" s="400"/>
      <c r="G15" s="23" t="s">
        <v>341</v>
      </c>
      <c r="H15" s="24" t="s">
        <v>342</v>
      </c>
      <c r="I15" s="25" t="s">
        <v>343</v>
      </c>
      <c r="J15" s="201" t="s">
        <v>344</v>
      </c>
      <c r="K15" s="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7.5" customHeight="1" x14ac:dyDescent="0.3">
      <c r="A16" s="26"/>
      <c r="B16" s="389">
        <v>1</v>
      </c>
      <c r="C16" s="388" t="s">
        <v>11</v>
      </c>
      <c r="D16" s="27">
        <v>1.1000000000000001</v>
      </c>
      <c r="E16" s="28" t="s">
        <v>39</v>
      </c>
      <c r="F16" s="29" t="s">
        <v>345</v>
      </c>
      <c r="G16" s="30" t="s">
        <v>346</v>
      </c>
      <c r="H16" s="31"/>
      <c r="I16" s="32" t="s">
        <v>347</v>
      </c>
      <c r="J16" s="31"/>
      <c r="K16" s="33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26"/>
      <c r="B17" s="385"/>
      <c r="C17" s="385"/>
      <c r="D17" s="27">
        <v>1.2</v>
      </c>
      <c r="E17" s="34" t="s">
        <v>348</v>
      </c>
      <c r="F17" s="35"/>
      <c r="G17" s="36" t="s">
        <v>349</v>
      </c>
      <c r="H17" s="37"/>
      <c r="I17" s="38"/>
      <c r="J17" s="37"/>
      <c r="K17" s="3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26"/>
      <c r="B18" s="385"/>
      <c r="C18" s="385"/>
      <c r="D18" s="389">
        <v>1.3</v>
      </c>
      <c r="E18" s="391" t="s">
        <v>41</v>
      </c>
      <c r="F18" s="35" t="s">
        <v>350</v>
      </c>
      <c r="G18" s="36" t="s">
        <v>351</v>
      </c>
      <c r="H18" s="31"/>
      <c r="I18" s="32"/>
      <c r="J18" s="31"/>
      <c r="K18" s="33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26"/>
      <c r="B19" s="385"/>
      <c r="C19" s="385"/>
      <c r="D19" s="385"/>
      <c r="E19" s="385"/>
      <c r="F19" s="35" t="s">
        <v>352</v>
      </c>
      <c r="G19" s="36" t="s">
        <v>353</v>
      </c>
      <c r="H19" s="31"/>
      <c r="I19" s="32"/>
      <c r="J19" s="31"/>
      <c r="K19" s="33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26"/>
      <c r="B20" s="385"/>
      <c r="C20" s="385"/>
      <c r="D20" s="390"/>
      <c r="E20" s="390"/>
      <c r="F20" s="35" t="s">
        <v>354</v>
      </c>
      <c r="G20" s="36" t="s">
        <v>355</v>
      </c>
      <c r="H20" s="31"/>
      <c r="I20" s="32"/>
      <c r="J20" s="31"/>
      <c r="K20" s="33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26"/>
      <c r="B21" s="385"/>
      <c r="C21" s="385"/>
      <c r="D21" s="27">
        <v>1.4</v>
      </c>
      <c r="E21" s="39" t="s">
        <v>43</v>
      </c>
      <c r="F21" s="35"/>
      <c r="G21" s="30" t="s">
        <v>356</v>
      </c>
      <c r="H21" s="31"/>
      <c r="I21" s="32"/>
      <c r="J21" s="31"/>
      <c r="K21" s="3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26"/>
      <c r="B22" s="385"/>
      <c r="C22" s="385"/>
      <c r="D22" s="27">
        <v>1.5</v>
      </c>
      <c r="E22" s="202" t="s">
        <v>45</v>
      </c>
      <c r="F22" s="40"/>
      <c r="G22" s="30" t="s">
        <v>357</v>
      </c>
      <c r="H22" s="41"/>
      <c r="I22" s="42"/>
      <c r="J22" s="41"/>
      <c r="K22" s="33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25" customHeight="1" x14ac:dyDescent="0.3">
      <c r="A23" s="26"/>
      <c r="B23" s="385"/>
      <c r="C23" s="385"/>
      <c r="D23" s="389">
        <v>1.6</v>
      </c>
      <c r="E23" s="391" t="s">
        <v>358</v>
      </c>
      <c r="F23" s="35" t="s">
        <v>359</v>
      </c>
      <c r="G23" s="30" t="s">
        <v>360</v>
      </c>
      <c r="H23" s="31"/>
      <c r="I23" s="32"/>
      <c r="J23" s="31"/>
      <c r="K23" s="33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26"/>
      <c r="B24" s="385"/>
      <c r="C24" s="385"/>
      <c r="D24" s="390"/>
      <c r="E24" s="390"/>
      <c r="F24" s="35" t="s">
        <v>361</v>
      </c>
      <c r="G24" s="30" t="s">
        <v>360</v>
      </c>
      <c r="H24" s="31"/>
      <c r="I24" s="32"/>
      <c r="J24" s="31"/>
      <c r="K24" s="33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33.75" customHeight="1" x14ac:dyDescent="0.3">
      <c r="A25" s="26"/>
      <c r="B25" s="385"/>
      <c r="C25" s="385"/>
      <c r="D25" s="389">
        <v>1.7</v>
      </c>
      <c r="E25" s="391" t="s">
        <v>47</v>
      </c>
      <c r="F25" s="35" t="s">
        <v>362</v>
      </c>
      <c r="G25" s="30" t="s">
        <v>363</v>
      </c>
      <c r="H25" s="31"/>
      <c r="I25" s="32"/>
      <c r="J25" s="31"/>
      <c r="K25" s="33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26"/>
      <c r="B26" s="385"/>
      <c r="C26" s="385"/>
      <c r="D26" s="385"/>
      <c r="E26" s="385"/>
      <c r="F26" s="43" t="s">
        <v>364</v>
      </c>
      <c r="G26" s="44" t="s">
        <v>365</v>
      </c>
      <c r="H26" s="31"/>
      <c r="I26" s="32"/>
      <c r="J26" s="31"/>
      <c r="K26" s="33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26"/>
      <c r="B27" s="385"/>
      <c r="C27" s="385"/>
      <c r="D27" s="390"/>
      <c r="E27" s="390"/>
      <c r="F27" s="43" t="s">
        <v>366</v>
      </c>
      <c r="G27" s="44" t="s">
        <v>365</v>
      </c>
      <c r="H27" s="31"/>
      <c r="I27" s="32"/>
      <c r="J27" s="31"/>
      <c r="K27" s="33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" customHeight="1" x14ac:dyDescent="0.3">
      <c r="A28" s="26"/>
      <c r="B28" s="385"/>
      <c r="C28" s="385"/>
      <c r="D28" s="27">
        <v>1.8</v>
      </c>
      <c r="E28" s="39" t="s">
        <v>49</v>
      </c>
      <c r="F28" s="35"/>
      <c r="G28" s="30" t="s">
        <v>356</v>
      </c>
      <c r="H28" s="31"/>
      <c r="I28" s="32"/>
      <c r="J28" s="31"/>
      <c r="K28" s="33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25" customHeight="1" x14ac:dyDescent="0.3">
      <c r="A29" s="26"/>
      <c r="B29" s="385"/>
      <c r="C29" s="385"/>
      <c r="D29" s="27">
        <v>1.9</v>
      </c>
      <c r="E29" s="34" t="s">
        <v>367</v>
      </c>
      <c r="F29" s="35" t="s">
        <v>368</v>
      </c>
      <c r="G29" s="45" t="s">
        <v>369</v>
      </c>
      <c r="H29" s="46"/>
      <c r="I29" s="47"/>
      <c r="J29" s="46"/>
      <c r="K29" s="33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26"/>
      <c r="B30" s="386"/>
      <c r="C30" s="386"/>
      <c r="D30" s="48">
        <v>1.1000000000000001</v>
      </c>
      <c r="E30" s="202" t="s">
        <v>370</v>
      </c>
      <c r="F30" s="49" t="s">
        <v>368</v>
      </c>
      <c r="G30" s="50" t="s">
        <v>371</v>
      </c>
      <c r="H30" s="51"/>
      <c r="I30" s="52"/>
      <c r="J30" s="51"/>
      <c r="K30" s="3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2" customHeight="1" x14ac:dyDescent="0.3">
      <c r="A31" s="26"/>
      <c r="B31" s="401">
        <v>2</v>
      </c>
      <c r="C31" s="387" t="s">
        <v>13</v>
      </c>
      <c r="D31" s="392" t="s">
        <v>372</v>
      </c>
      <c r="E31" s="393"/>
      <c r="F31" s="40"/>
      <c r="G31" s="53"/>
      <c r="H31" s="41"/>
      <c r="I31" s="42" t="s">
        <v>37</v>
      </c>
      <c r="J31" s="41"/>
      <c r="K31" s="33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8" customHeight="1" x14ac:dyDescent="0.3">
      <c r="A32" s="26"/>
      <c r="B32" s="385"/>
      <c r="C32" s="385"/>
      <c r="D32" s="389">
        <v>2.1</v>
      </c>
      <c r="E32" s="394" t="s">
        <v>55</v>
      </c>
      <c r="F32" s="40" t="s">
        <v>373</v>
      </c>
      <c r="G32" s="53" t="s">
        <v>374</v>
      </c>
      <c r="H32" s="41"/>
      <c r="I32" s="42"/>
      <c r="J32" s="41"/>
      <c r="K32" s="33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6.5" customHeight="1" x14ac:dyDescent="0.3">
      <c r="A33" s="26"/>
      <c r="B33" s="385"/>
      <c r="C33" s="385"/>
      <c r="D33" s="385"/>
      <c r="E33" s="385"/>
      <c r="F33" s="40" t="s">
        <v>375</v>
      </c>
      <c r="G33" s="53" t="s">
        <v>376</v>
      </c>
      <c r="H33" s="41"/>
      <c r="I33" s="42"/>
      <c r="J33" s="41"/>
      <c r="K33" s="33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8" customHeight="1" x14ac:dyDescent="0.3">
      <c r="A34" s="26"/>
      <c r="B34" s="385"/>
      <c r="C34" s="385"/>
      <c r="D34" s="385"/>
      <c r="E34" s="385"/>
      <c r="F34" s="40" t="s">
        <v>377</v>
      </c>
      <c r="G34" s="53" t="s">
        <v>374</v>
      </c>
      <c r="H34" s="41"/>
      <c r="I34" s="42"/>
      <c r="J34" s="41"/>
      <c r="K34" s="33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8" customHeight="1" x14ac:dyDescent="0.3">
      <c r="A35" s="26"/>
      <c r="B35" s="385"/>
      <c r="C35" s="385"/>
      <c r="D35" s="385"/>
      <c r="E35" s="385"/>
      <c r="F35" s="40" t="s">
        <v>378</v>
      </c>
      <c r="G35" s="53" t="s">
        <v>374</v>
      </c>
      <c r="H35" s="41"/>
      <c r="I35" s="42"/>
      <c r="J35" s="41"/>
      <c r="K35" s="33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30" customHeight="1" x14ac:dyDescent="0.3">
      <c r="A36" s="26"/>
      <c r="B36" s="385"/>
      <c r="C36" s="385"/>
      <c r="D36" s="385"/>
      <c r="E36" s="390"/>
      <c r="F36" s="40" t="s">
        <v>379</v>
      </c>
      <c r="G36" s="53" t="s">
        <v>380</v>
      </c>
      <c r="H36" s="41"/>
      <c r="I36" s="42"/>
      <c r="J36" s="41"/>
      <c r="K36" s="33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2.75" customHeight="1" x14ac:dyDescent="0.3">
      <c r="A37" s="26"/>
      <c r="B37" s="385"/>
      <c r="C37" s="385"/>
      <c r="D37" s="27">
        <v>2.2000000000000002</v>
      </c>
      <c r="E37" s="40" t="s">
        <v>58</v>
      </c>
      <c r="F37" s="402" t="s">
        <v>381</v>
      </c>
      <c r="G37" s="403"/>
      <c r="H37" s="41"/>
      <c r="I37" s="42"/>
      <c r="J37" s="41"/>
      <c r="K37" s="33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2.75" customHeight="1" x14ac:dyDescent="0.3">
      <c r="A38" s="26"/>
      <c r="B38" s="385"/>
      <c r="C38" s="385"/>
      <c r="D38" s="27">
        <v>2.2999999999999998</v>
      </c>
      <c r="E38" s="40" t="s">
        <v>63</v>
      </c>
      <c r="F38" s="402" t="s">
        <v>381</v>
      </c>
      <c r="G38" s="403"/>
      <c r="H38" s="41"/>
      <c r="I38" s="42"/>
      <c r="J38" s="41"/>
      <c r="K38" s="33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2.75" customHeight="1" x14ac:dyDescent="0.3">
      <c r="A39" s="26"/>
      <c r="B39" s="385"/>
      <c r="C39" s="385"/>
      <c r="D39" s="27">
        <v>2.4</v>
      </c>
      <c r="E39" s="40" t="s">
        <v>382</v>
      </c>
      <c r="F39" s="402" t="s">
        <v>381</v>
      </c>
      <c r="G39" s="403"/>
      <c r="H39" s="41"/>
      <c r="I39" s="42"/>
      <c r="J39" s="41"/>
      <c r="K39" s="33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2.75" customHeight="1" x14ac:dyDescent="0.3">
      <c r="A40" s="26"/>
      <c r="B40" s="385"/>
      <c r="C40" s="385"/>
      <c r="D40" s="27">
        <v>2.5</v>
      </c>
      <c r="E40" s="40" t="s">
        <v>383</v>
      </c>
      <c r="F40" s="402" t="s">
        <v>381</v>
      </c>
      <c r="G40" s="403"/>
      <c r="H40" s="41"/>
      <c r="I40" s="42"/>
      <c r="J40" s="41"/>
      <c r="K40" s="33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2.75" customHeight="1" x14ac:dyDescent="0.3">
      <c r="A41" s="26"/>
      <c r="B41" s="385"/>
      <c r="C41" s="385"/>
      <c r="D41" s="27">
        <v>2.6</v>
      </c>
      <c r="E41" s="40" t="s">
        <v>384</v>
      </c>
      <c r="F41" s="402" t="s">
        <v>381</v>
      </c>
      <c r="G41" s="403"/>
      <c r="H41" s="41"/>
      <c r="I41" s="42"/>
      <c r="J41" s="41"/>
      <c r="K41" s="33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2.75" customHeight="1" x14ac:dyDescent="0.3">
      <c r="A42" s="26"/>
      <c r="B42" s="385"/>
      <c r="C42" s="385"/>
      <c r="D42" s="27">
        <v>2.7</v>
      </c>
      <c r="E42" s="40" t="s">
        <v>20</v>
      </c>
      <c r="F42" s="402" t="s">
        <v>381</v>
      </c>
      <c r="G42" s="403"/>
      <c r="H42" s="41"/>
      <c r="I42" s="42"/>
      <c r="J42" s="41"/>
      <c r="K42" s="33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2.75" customHeight="1" x14ac:dyDescent="0.3">
      <c r="A43" s="26"/>
      <c r="B43" s="385"/>
      <c r="C43" s="385"/>
      <c r="D43" s="404" t="s">
        <v>385</v>
      </c>
      <c r="E43" s="403"/>
      <c r="F43" s="402" t="s">
        <v>381</v>
      </c>
      <c r="G43" s="403"/>
      <c r="H43" s="31"/>
      <c r="I43" s="32"/>
      <c r="J43" s="31"/>
      <c r="K43" s="33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2.5" customHeight="1" x14ac:dyDescent="0.3">
      <c r="A44" s="26"/>
      <c r="B44" s="385"/>
      <c r="C44" s="385"/>
      <c r="D44" s="54">
        <v>2.8</v>
      </c>
      <c r="E44" s="40" t="s">
        <v>55</v>
      </c>
      <c r="F44" s="40" t="s">
        <v>386</v>
      </c>
      <c r="G44" s="53" t="s">
        <v>387</v>
      </c>
      <c r="H44" s="31"/>
      <c r="I44" s="32"/>
      <c r="J44" s="31"/>
      <c r="K44" s="33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9.75" customHeight="1" x14ac:dyDescent="0.3">
      <c r="A45" s="26"/>
      <c r="B45" s="385"/>
      <c r="C45" s="385"/>
      <c r="D45" s="55">
        <v>2.9</v>
      </c>
      <c r="E45" s="40" t="s">
        <v>58</v>
      </c>
      <c r="F45" s="40" t="s">
        <v>388</v>
      </c>
      <c r="G45" s="56" t="s">
        <v>389</v>
      </c>
      <c r="H45" s="31"/>
      <c r="I45" s="32"/>
      <c r="J45" s="31"/>
      <c r="K45" s="33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9.75" customHeight="1" x14ac:dyDescent="0.3">
      <c r="A46" s="26"/>
      <c r="B46" s="385"/>
      <c r="C46" s="385"/>
      <c r="D46" s="57">
        <v>2.1</v>
      </c>
      <c r="E46" s="40" t="s">
        <v>63</v>
      </c>
      <c r="F46" s="40" t="s">
        <v>390</v>
      </c>
      <c r="G46" s="56" t="s">
        <v>389</v>
      </c>
      <c r="H46" s="31"/>
      <c r="I46" s="32"/>
      <c r="J46" s="31"/>
      <c r="K46" s="33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9.75" customHeight="1" x14ac:dyDescent="0.3">
      <c r="A47" s="26"/>
      <c r="B47" s="385"/>
      <c r="C47" s="385"/>
      <c r="D47" s="57">
        <v>2.11</v>
      </c>
      <c r="E47" s="40" t="s">
        <v>382</v>
      </c>
      <c r="F47" s="40" t="s">
        <v>391</v>
      </c>
      <c r="G47" s="56" t="s">
        <v>389</v>
      </c>
      <c r="H47" s="31"/>
      <c r="I47" s="32"/>
      <c r="J47" s="31"/>
      <c r="K47" s="33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9.75" customHeight="1" x14ac:dyDescent="0.3">
      <c r="A48" s="26"/>
      <c r="B48" s="385"/>
      <c r="C48" s="385"/>
      <c r="D48" s="57">
        <v>2.12</v>
      </c>
      <c r="E48" s="40" t="s">
        <v>383</v>
      </c>
      <c r="F48" s="40" t="s">
        <v>392</v>
      </c>
      <c r="G48" s="56" t="s">
        <v>389</v>
      </c>
      <c r="H48" s="31"/>
      <c r="I48" s="32"/>
      <c r="J48" s="31"/>
      <c r="K48" s="33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9.75" customHeight="1" x14ac:dyDescent="0.3">
      <c r="A49" s="26"/>
      <c r="B49" s="385"/>
      <c r="C49" s="385"/>
      <c r="D49" s="57">
        <v>2.13</v>
      </c>
      <c r="E49" s="40" t="s">
        <v>384</v>
      </c>
      <c r="F49" s="40" t="s">
        <v>393</v>
      </c>
      <c r="G49" s="56" t="s">
        <v>389</v>
      </c>
      <c r="H49" s="31"/>
      <c r="I49" s="32"/>
      <c r="J49" s="31"/>
      <c r="K49" s="33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9.75" customHeight="1" x14ac:dyDescent="0.3">
      <c r="A50" s="26"/>
      <c r="B50" s="385"/>
      <c r="C50" s="385"/>
      <c r="D50" s="57">
        <v>2.14</v>
      </c>
      <c r="E50" s="40" t="s">
        <v>20</v>
      </c>
      <c r="F50" s="40" t="s">
        <v>394</v>
      </c>
      <c r="G50" s="56" t="s">
        <v>389</v>
      </c>
      <c r="H50" s="31"/>
      <c r="I50" s="32"/>
      <c r="J50" s="31"/>
      <c r="K50" s="33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 x14ac:dyDescent="0.3">
      <c r="A51" s="26"/>
      <c r="B51" s="385"/>
      <c r="C51" s="385"/>
      <c r="D51" s="405">
        <v>2.15</v>
      </c>
      <c r="E51" s="395" t="s">
        <v>71</v>
      </c>
      <c r="F51" s="40" t="s">
        <v>395</v>
      </c>
      <c r="G51" s="53" t="s">
        <v>356</v>
      </c>
      <c r="H51" s="31"/>
      <c r="I51" s="32"/>
      <c r="J51" s="31"/>
      <c r="K51" s="33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 x14ac:dyDescent="0.3">
      <c r="A52" s="26"/>
      <c r="B52" s="385"/>
      <c r="C52" s="385"/>
      <c r="D52" s="385"/>
      <c r="E52" s="385"/>
      <c r="F52" s="40" t="s">
        <v>396</v>
      </c>
      <c r="G52" s="53" t="s">
        <v>356</v>
      </c>
      <c r="H52" s="31"/>
      <c r="I52" s="32"/>
      <c r="J52" s="31"/>
      <c r="K52" s="33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 x14ac:dyDescent="0.3">
      <c r="A53" s="26"/>
      <c r="B53" s="385"/>
      <c r="C53" s="385"/>
      <c r="D53" s="390"/>
      <c r="E53" s="390"/>
      <c r="F53" s="40" t="s">
        <v>397</v>
      </c>
      <c r="G53" s="53" t="s">
        <v>356</v>
      </c>
      <c r="H53" s="31"/>
      <c r="I53" s="32"/>
      <c r="J53" s="31"/>
      <c r="K53" s="33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 x14ac:dyDescent="0.3">
      <c r="A54" s="26"/>
      <c r="B54" s="385"/>
      <c r="C54" s="385"/>
      <c r="D54" s="405">
        <v>2.16</v>
      </c>
      <c r="E54" s="395" t="s">
        <v>398</v>
      </c>
      <c r="F54" s="34" t="s">
        <v>399</v>
      </c>
      <c r="G54" s="53" t="s">
        <v>400</v>
      </c>
      <c r="H54" s="31"/>
      <c r="I54" s="32" t="s">
        <v>85</v>
      </c>
      <c r="J54" s="31"/>
      <c r="K54" s="33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 x14ac:dyDescent="0.3">
      <c r="A55" s="26"/>
      <c r="B55" s="385"/>
      <c r="C55" s="385"/>
      <c r="D55" s="385"/>
      <c r="E55" s="385"/>
      <c r="F55" s="34" t="s">
        <v>401</v>
      </c>
      <c r="G55" s="53" t="s">
        <v>402</v>
      </c>
      <c r="H55" s="31"/>
      <c r="I55" s="32"/>
      <c r="J55" s="31"/>
      <c r="K55" s="33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 x14ac:dyDescent="0.3">
      <c r="A56" s="26"/>
      <c r="B56" s="385"/>
      <c r="C56" s="385"/>
      <c r="D56" s="390"/>
      <c r="E56" s="385"/>
      <c r="F56" s="34" t="s">
        <v>403</v>
      </c>
      <c r="G56" s="53" t="s">
        <v>402</v>
      </c>
      <c r="H56" s="31"/>
      <c r="I56" s="32"/>
      <c r="J56" s="31"/>
      <c r="K56" s="33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 x14ac:dyDescent="0.3">
      <c r="A57" s="26"/>
      <c r="B57" s="385"/>
      <c r="C57" s="385"/>
      <c r="D57" s="57">
        <v>2.17</v>
      </c>
      <c r="E57" s="390"/>
      <c r="F57" s="34" t="s">
        <v>404</v>
      </c>
      <c r="G57" s="53" t="s">
        <v>356</v>
      </c>
      <c r="H57" s="31"/>
      <c r="I57" s="32"/>
      <c r="J57" s="31"/>
      <c r="K57" s="33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 x14ac:dyDescent="0.3">
      <c r="A58" s="26"/>
      <c r="B58" s="385"/>
      <c r="C58" s="385"/>
      <c r="D58" s="57">
        <v>2.1800000000000002</v>
      </c>
      <c r="E58" s="395" t="s">
        <v>77</v>
      </c>
      <c r="F58" s="34" t="s">
        <v>405</v>
      </c>
      <c r="G58" s="58"/>
      <c r="H58" s="31"/>
      <c r="I58" s="32"/>
      <c r="J58" s="31"/>
      <c r="K58" s="33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 x14ac:dyDescent="0.3">
      <c r="A59" s="26"/>
      <c r="B59" s="385"/>
      <c r="C59" s="385"/>
      <c r="D59" s="57">
        <v>2.19</v>
      </c>
      <c r="E59" s="390"/>
      <c r="F59" s="34" t="s">
        <v>406</v>
      </c>
      <c r="G59" s="53" t="s">
        <v>356</v>
      </c>
      <c r="H59" s="46"/>
      <c r="I59" s="47" t="s">
        <v>347</v>
      </c>
      <c r="J59" s="46"/>
      <c r="K59" s="33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 x14ac:dyDescent="0.3">
      <c r="A60" s="26"/>
      <c r="B60" s="385"/>
      <c r="C60" s="385"/>
      <c r="D60" s="57">
        <v>2.2000000000000002</v>
      </c>
      <c r="E60" s="203"/>
      <c r="F60" s="40" t="s">
        <v>407</v>
      </c>
      <c r="G60" s="59"/>
      <c r="H60" s="46"/>
      <c r="I60" s="47"/>
      <c r="J60" s="46"/>
      <c r="K60" s="33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 x14ac:dyDescent="0.3">
      <c r="A61" s="26"/>
      <c r="B61" s="386"/>
      <c r="C61" s="386"/>
      <c r="D61" s="60">
        <v>2.21</v>
      </c>
      <c r="E61" s="204" t="s">
        <v>408</v>
      </c>
      <c r="F61" s="40" t="s">
        <v>409</v>
      </c>
      <c r="G61" s="50"/>
      <c r="H61" s="51"/>
      <c r="I61" s="52"/>
      <c r="J61" s="51"/>
      <c r="K61" s="33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 x14ac:dyDescent="0.3">
      <c r="A62" s="26"/>
      <c r="B62" s="384">
        <v>3</v>
      </c>
      <c r="C62" s="387" t="s">
        <v>24</v>
      </c>
      <c r="D62" s="61">
        <v>3.1</v>
      </c>
      <c r="E62" s="396" t="s">
        <v>79</v>
      </c>
      <c r="F62" s="62" t="s">
        <v>410</v>
      </c>
      <c r="G62" s="63" t="s">
        <v>411</v>
      </c>
      <c r="H62" s="64"/>
      <c r="I62" s="65"/>
      <c r="J62" s="64"/>
      <c r="K62" s="33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 x14ac:dyDescent="0.3">
      <c r="A63" s="26"/>
      <c r="B63" s="385"/>
      <c r="C63" s="385"/>
      <c r="D63" s="27">
        <v>3.2</v>
      </c>
      <c r="E63" s="385"/>
      <c r="F63" s="40" t="s">
        <v>412</v>
      </c>
      <c r="G63" s="30" t="s">
        <v>411</v>
      </c>
      <c r="H63" s="41"/>
      <c r="I63" s="42"/>
      <c r="J63" s="41"/>
      <c r="K63" s="33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 x14ac:dyDescent="0.3">
      <c r="A64" s="26"/>
      <c r="B64" s="385"/>
      <c r="C64" s="385"/>
      <c r="D64" s="27">
        <v>3.3</v>
      </c>
      <c r="E64" s="385"/>
      <c r="F64" s="35" t="s">
        <v>413</v>
      </c>
      <c r="G64" s="30" t="s">
        <v>411</v>
      </c>
      <c r="H64" s="31"/>
      <c r="I64" s="32"/>
      <c r="J64" s="31"/>
      <c r="K64" s="33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 x14ac:dyDescent="0.3">
      <c r="A65" s="26"/>
      <c r="B65" s="385"/>
      <c r="C65" s="385"/>
      <c r="D65" s="27">
        <v>3.4</v>
      </c>
      <c r="E65" s="390"/>
      <c r="F65" s="35" t="s">
        <v>414</v>
      </c>
      <c r="G65" s="30" t="s">
        <v>415</v>
      </c>
      <c r="H65" s="31"/>
      <c r="I65" s="32"/>
      <c r="J65" s="31"/>
      <c r="K65" s="33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 x14ac:dyDescent="0.3">
      <c r="A66" s="26"/>
      <c r="B66" s="385"/>
      <c r="C66" s="385"/>
      <c r="D66" s="27">
        <v>3.5</v>
      </c>
      <c r="E66" s="39" t="s">
        <v>78</v>
      </c>
      <c r="F66" s="35"/>
      <c r="G66" s="53" t="s">
        <v>356</v>
      </c>
      <c r="H66" s="31"/>
      <c r="I66" s="32"/>
      <c r="J66" s="31"/>
      <c r="K66" s="33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25" customHeight="1" x14ac:dyDescent="0.3">
      <c r="A67" s="26"/>
      <c r="B67" s="385"/>
      <c r="C67" s="385"/>
      <c r="D67" s="27">
        <v>3.6</v>
      </c>
      <c r="E67" s="391" t="s">
        <v>80</v>
      </c>
      <c r="F67" s="40" t="s">
        <v>410</v>
      </c>
      <c r="G67" s="30" t="s">
        <v>411</v>
      </c>
      <c r="H67" s="31"/>
      <c r="I67" s="32"/>
      <c r="J67" s="31"/>
      <c r="K67" s="33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 x14ac:dyDescent="0.3">
      <c r="A68" s="26"/>
      <c r="B68" s="385"/>
      <c r="C68" s="385"/>
      <c r="D68" s="27">
        <v>3.7</v>
      </c>
      <c r="E68" s="385"/>
      <c r="F68" s="40" t="s">
        <v>412</v>
      </c>
      <c r="G68" s="30" t="s">
        <v>411</v>
      </c>
      <c r="H68" s="31"/>
      <c r="I68" s="32"/>
      <c r="J68" s="31"/>
      <c r="K68" s="33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 x14ac:dyDescent="0.3">
      <c r="A69" s="26"/>
      <c r="B69" s="385"/>
      <c r="C69" s="385"/>
      <c r="D69" s="27">
        <v>3.8</v>
      </c>
      <c r="E69" s="385"/>
      <c r="F69" s="35" t="s">
        <v>413</v>
      </c>
      <c r="G69" s="30" t="s">
        <v>411</v>
      </c>
      <c r="H69" s="31"/>
      <c r="I69" s="32"/>
      <c r="J69" s="31"/>
      <c r="K69" s="33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 x14ac:dyDescent="0.3">
      <c r="A70" s="26"/>
      <c r="B70" s="385"/>
      <c r="C70" s="385"/>
      <c r="D70" s="27">
        <v>3.9</v>
      </c>
      <c r="E70" s="390"/>
      <c r="F70" s="35" t="s">
        <v>416</v>
      </c>
      <c r="G70" s="30" t="s">
        <v>415</v>
      </c>
      <c r="H70" s="46"/>
      <c r="I70" s="47"/>
      <c r="J70" s="46"/>
      <c r="K70" s="33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 x14ac:dyDescent="0.3">
      <c r="A71" s="26"/>
      <c r="B71" s="386"/>
      <c r="C71" s="386"/>
      <c r="D71" s="66" t="s">
        <v>417</v>
      </c>
      <c r="E71" s="67" t="s">
        <v>81</v>
      </c>
      <c r="F71" s="49"/>
      <c r="G71" s="68" t="s">
        <v>356</v>
      </c>
      <c r="H71" s="69"/>
      <c r="I71" s="70"/>
      <c r="J71" s="69"/>
      <c r="K71" s="71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 x14ac:dyDescent="0.3">
      <c r="B72" s="7"/>
      <c r="C72" s="10"/>
      <c r="D72" s="12"/>
      <c r="E72" s="7"/>
      <c r="F72" s="7"/>
      <c r="G72" s="7"/>
      <c r="H72" s="72" t="s">
        <v>82</v>
      </c>
      <c r="I72" s="73">
        <f>COUNTIF(I16:I71,"PASSED")</f>
        <v>1</v>
      </c>
      <c r="J72" s="74">
        <f>I72/(COUNTA(I16:I71)-COUNTIF((I16:I71),"N/A"))</f>
        <v>0.33333333333333331</v>
      </c>
      <c r="K72" s="10"/>
    </row>
    <row r="73" spans="1:26" ht="14.25" customHeight="1" x14ac:dyDescent="0.3">
      <c r="B73" s="7"/>
      <c r="C73" s="10"/>
      <c r="D73" s="12"/>
      <c r="E73" s="7"/>
      <c r="F73" s="7"/>
      <c r="G73" s="7"/>
      <c r="H73" s="72" t="s">
        <v>83</v>
      </c>
      <c r="I73" s="75">
        <f>COUNTIF(I16:I71,"PASSED WITH CONDITION")</f>
        <v>0</v>
      </c>
      <c r="J73" s="10"/>
      <c r="K73" s="10"/>
    </row>
    <row r="74" spans="1:26" ht="14.25" customHeight="1" x14ac:dyDescent="0.3">
      <c r="B74" s="7"/>
      <c r="C74" s="10"/>
      <c r="D74" s="12"/>
      <c r="E74" s="7"/>
      <c r="F74" s="7"/>
      <c r="G74" s="7"/>
      <c r="H74" s="72" t="s">
        <v>84</v>
      </c>
      <c r="I74" s="76">
        <f>COUNTIF(I16:I71,"FAILED")</f>
        <v>2</v>
      </c>
      <c r="J74" s="10"/>
      <c r="K74" s="10"/>
    </row>
    <row r="75" spans="1:26" ht="14.25" customHeight="1" x14ac:dyDescent="0.3">
      <c r="B75" s="7"/>
      <c r="C75" s="10"/>
      <c r="D75" s="12"/>
      <c r="E75" s="7"/>
      <c r="F75" s="7"/>
      <c r="G75" s="7"/>
      <c r="H75" s="10"/>
      <c r="I75" s="19"/>
      <c r="J75" s="10"/>
      <c r="K75" s="10"/>
    </row>
    <row r="76" spans="1:26" ht="14.25" customHeight="1" x14ac:dyDescent="0.3">
      <c r="B76" s="7"/>
      <c r="C76" s="10"/>
      <c r="D76" s="12"/>
      <c r="E76" s="7"/>
      <c r="F76" s="7"/>
      <c r="G76" s="7"/>
      <c r="H76" s="10"/>
      <c r="I76" s="19"/>
      <c r="J76" s="10"/>
      <c r="K76" s="10"/>
    </row>
    <row r="77" spans="1:26" ht="14.25" customHeight="1" x14ac:dyDescent="0.3">
      <c r="B77" s="7"/>
      <c r="C77" s="10"/>
      <c r="D77" s="12"/>
      <c r="E77" s="7"/>
      <c r="F77" s="7"/>
      <c r="G77" s="7"/>
      <c r="H77" s="10"/>
      <c r="I77" s="19"/>
      <c r="J77" s="10"/>
      <c r="K77" s="10"/>
    </row>
    <row r="78" spans="1:26" ht="14.25" customHeight="1" x14ac:dyDescent="0.3">
      <c r="B78" s="7"/>
      <c r="C78" s="10"/>
      <c r="D78" s="12"/>
      <c r="E78" s="7"/>
      <c r="F78" s="7"/>
      <c r="G78" s="7"/>
      <c r="H78" s="10"/>
      <c r="I78" s="19"/>
      <c r="J78" s="10"/>
      <c r="K78" s="10"/>
    </row>
    <row r="79" spans="1:26" ht="14.25" customHeight="1" x14ac:dyDescent="0.3">
      <c r="B79" s="7"/>
      <c r="C79" s="10"/>
      <c r="D79" s="12"/>
      <c r="E79" s="7"/>
      <c r="F79" s="7"/>
      <c r="G79" s="7"/>
      <c r="H79" s="10"/>
      <c r="I79" s="19"/>
      <c r="J79" s="10"/>
      <c r="K79" s="10"/>
    </row>
    <row r="80" spans="1:26" ht="14.25" customHeight="1" x14ac:dyDescent="0.3">
      <c r="B80" s="7"/>
      <c r="C80" s="10"/>
      <c r="D80" s="12"/>
      <c r="E80" s="7"/>
      <c r="F80" s="7"/>
      <c r="G80" s="7"/>
      <c r="H80" s="10"/>
      <c r="I80" s="19"/>
      <c r="J80" s="10"/>
      <c r="K80" s="10"/>
    </row>
    <row r="81" spans="2:11" ht="14.25" customHeight="1" x14ac:dyDescent="0.3">
      <c r="B81" s="7"/>
      <c r="C81" s="10"/>
      <c r="D81" s="12"/>
      <c r="E81" s="7"/>
      <c r="F81" s="7"/>
      <c r="G81" s="7"/>
      <c r="H81" s="10"/>
      <c r="I81" s="19"/>
      <c r="J81" s="10"/>
      <c r="K81" s="10"/>
    </row>
    <row r="82" spans="2:11" ht="14.25" customHeight="1" x14ac:dyDescent="0.3">
      <c r="B82" s="7"/>
      <c r="C82" s="10"/>
      <c r="D82" s="12"/>
      <c r="E82" s="7"/>
      <c r="F82" s="7"/>
      <c r="G82" s="7"/>
      <c r="H82" s="10"/>
      <c r="I82" s="19"/>
      <c r="J82" s="10"/>
      <c r="K82" s="10"/>
    </row>
    <row r="83" spans="2:11" ht="14.25" customHeight="1" x14ac:dyDescent="0.3">
      <c r="B83" s="7"/>
      <c r="C83" s="10"/>
      <c r="D83" s="12"/>
      <c r="E83" s="7"/>
      <c r="F83" s="7"/>
      <c r="G83" s="7"/>
      <c r="H83" s="10"/>
      <c r="I83" s="19"/>
      <c r="J83" s="10"/>
      <c r="K83" s="10"/>
    </row>
    <row r="84" spans="2:11" ht="14.25" customHeight="1" x14ac:dyDescent="0.3">
      <c r="B84" s="7"/>
      <c r="C84" s="10"/>
      <c r="D84" s="12"/>
      <c r="E84" s="7"/>
      <c r="F84" s="7"/>
      <c r="G84" s="7"/>
      <c r="H84" s="10"/>
      <c r="I84" s="19"/>
      <c r="J84" s="10"/>
      <c r="K84" s="10"/>
    </row>
    <row r="85" spans="2:11" ht="14.25" customHeight="1" x14ac:dyDescent="0.3">
      <c r="B85" s="7"/>
      <c r="C85" s="10"/>
      <c r="D85" s="12"/>
      <c r="E85" s="7"/>
      <c r="F85" s="7"/>
      <c r="G85" s="7"/>
      <c r="H85" s="10"/>
      <c r="I85" s="19"/>
      <c r="J85" s="10"/>
      <c r="K85" s="10"/>
    </row>
    <row r="86" spans="2:11" ht="14.25" customHeight="1" x14ac:dyDescent="0.3">
      <c r="B86" s="7"/>
      <c r="C86" s="10"/>
      <c r="D86" s="12"/>
      <c r="E86" s="7"/>
      <c r="F86" s="7"/>
      <c r="G86" s="7"/>
      <c r="H86" s="10"/>
      <c r="I86" s="19"/>
      <c r="J86" s="10"/>
      <c r="K86" s="10"/>
    </row>
    <row r="87" spans="2:11" ht="14.25" customHeight="1" x14ac:dyDescent="0.3">
      <c r="B87" s="7"/>
      <c r="C87" s="10"/>
      <c r="D87" s="12"/>
      <c r="E87" s="7"/>
      <c r="F87" s="7"/>
      <c r="G87" s="7"/>
      <c r="H87" s="10"/>
      <c r="I87" s="19"/>
      <c r="J87" s="10"/>
      <c r="K87" s="10"/>
    </row>
    <row r="88" spans="2:11" ht="14.25" customHeight="1" x14ac:dyDescent="0.3">
      <c r="B88" s="7"/>
      <c r="C88" s="10"/>
      <c r="D88" s="12"/>
      <c r="E88" s="7"/>
      <c r="F88" s="7"/>
      <c r="G88" s="7"/>
      <c r="H88" s="10"/>
      <c r="I88" s="19"/>
      <c r="J88" s="10"/>
      <c r="K88" s="10"/>
    </row>
    <row r="89" spans="2:11" ht="14.25" customHeight="1" x14ac:dyDescent="0.3">
      <c r="B89" s="7"/>
      <c r="C89" s="10"/>
      <c r="D89" s="12"/>
      <c r="E89" s="7"/>
      <c r="F89" s="7"/>
      <c r="G89" s="7"/>
      <c r="H89" s="10"/>
      <c r="I89" s="19"/>
      <c r="J89" s="10"/>
      <c r="K89" s="10"/>
    </row>
    <row r="90" spans="2:11" ht="14.25" customHeight="1" x14ac:dyDescent="0.3">
      <c r="B90" s="7"/>
      <c r="C90" s="10"/>
      <c r="D90" s="12"/>
      <c r="E90" s="7"/>
      <c r="F90" s="7"/>
      <c r="G90" s="7"/>
      <c r="H90" s="10"/>
      <c r="I90" s="19"/>
      <c r="J90" s="10"/>
      <c r="K90" s="10"/>
    </row>
    <row r="91" spans="2:11" ht="14.25" customHeight="1" x14ac:dyDescent="0.3">
      <c r="B91" s="7"/>
      <c r="C91" s="10"/>
      <c r="D91" s="12"/>
      <c r="E91" s="7"/>
      <c r="F91" s="7"/>
      <c r="G91" s="7"/>
      <c r="H91" s="10"/>
      <c r="I91" s="19"/>
      <c r="J91" s="10"/>
      <c r="K91" s="10"/>
    </row>
    <row r="92" spans="2:11" ht="14.25" customHeight="1" x14ac:dyDescent="0.3">
      <c r="B92" s="7"/>
      <c r="C92" s="10"/>
      <c r="D92" s="12"/>
      <c r="E92" s="7"/>
      <c r="F92" s="7"/>
      <c r="G92" s="7"/>
      <c r="H92" s="10"/>
      <c r="I92" s="19"/>
      <c r="J92" s="10"/>
      <c r="K92" s="10"/>
    </row>
    <row r="93" spans="2:11" ht="14.25" customHeight="1" x14ac:dyDescent="0.3">
      <c r="B93" s="7"/>
      <c r="C93" s="10"/>
      <c r="D93" s="12"/>
      <c r="E93" s="7"/>
      <c r="F93" s="7"/>
      <c r="G93" s="7"/>
      <c r="H93" s="10"/>
      <c r="I93" s="19"/>
      <c r="J93" s="10"/>
      <c r="K93" s="10"/>
    </row>
    <row r="94" spans="2:11" ht="14.25" customHeight="1" x14ac:dyDescent="0.3">
      <c r="B94" s="7"/>
      <c r="C94" s="10"/>
      <c r="D94" s="12"/>
      <c r="E94" s="7"/>
      <c r="F94" s="7"/>
      <c r="G94" s="7"/>
      <c r="H94" s="10"/>
      <c r="I94" s="19"/>
      <c r="J94" s="10"/>
      <c r="K94" s="10"/>
    </row>
    <row r="95" spans="2:11" ht="14.25" customHeight="1" x14ac:dyDescent="0.3">
      <c r="B95" s="7"/>
      <c r="C95" s="10"/>
      <c r="D95" s="12"/>
      <c r="E95" s="7"/>
      <c r="F95" s="7"/>
      <c r="G95" s="7"/>
      <c r="H95" s="10"/>
      <c r="I95" s="19"/>
      <c r="J95" s="10"/>
      <c r="K95" s="10"/>
    </row>
    <row r="96" spans="2:11" ht="14.25" customHeight="1" x14ac:dyDescent="0.3">
      <c r="B96" s="7"/>
      <c r="C96" s="10"/>
      <c r="D96" s="12"/>
      <c r="E96" s="7"/>
      <c r="F96" s="7"/>
      <c r="G96" s="7"/>
      <c r="H96" s="10"/>
      <c r="I96" s="19"/>
      <c r="J96" s="10"/>
      <c r="K96" s="10"/>
    </row>
    <row r="97" spans="2:11" ht="14.25" customHeight="1" x14ac:dyDescent="0.3">
      <c r="B97" s="7"/>
      <c r="C97" s="10"/>
      <c r="D97" s="12"/>
      <c r="E97" s="7"/>
      <c r="F97" s="7"/>
      <c r="G97" s="7"/>
      <c r="H97" s="10"/>
      <c r="I97" s="19"/>
      <c r="J97" s="10"/>
      <c r="K97" s="10"/>
    </row>
    <row r="98" spans="2:11" ht="14.25" customHeight="1" x14ac:dyDescent="0.3">
      <c r="B98" s="7"/>
      <c r="C98" s="10"/>
      <c r="D98" s="12"/>
      <c r="E98" s="7"/>
      <c r="F98" s="7"/>
      <c r="G98" s="7"/>
      <c r="H98" s="10"/>
      <c r="I98" s="19"/>
      <c r="J98" s="10"/>
      <c r="K98" s="10"/>
    </row>
    <row r="99" spans="2:11" ht="14.25" customHeight="1" x14ac:dyDescent="0.3">
      <c r="B99" s="7"/>
      <c r="C99" s="10"/>
      <c r="D99" s="12"/>
      <c r="E99" s="7"/>
      <c r="F99" s="7"/>
      <c r="G99" s="7"/>
      <c r="H99" s="10"/>
      <c r="I99" s="19"/>
      <c r="J99" s="10"/>
      <c r="K99" s="10"/>
    </row>
    <row r="100" spans="2:11" ht="14.25" customHeight="1" x14ac:dyDescent="0.3">
      <c r="B100" s="7"/>
      <c r="C100" s="10"/>
      <c r="D100" s="12"/>
      <c r="E100" s="7"/>
      <c r="F100" s="7"/>
      <c r="G100" s="7"/>
      <c r="H100" s="10"/>
      <c r="I100" s="19"/>
      <c r="J100" s="10"/>
      <c r="K100" s="10"/>
    </row>
    <row r="101" spans="2:11" ht="14.25" customHeight="1" x14ac:dyDescent="0.3">
      <c r="B101" s="7"/>
      <c r="C101" s="10"/>
      <c r="D101" s="12"/>
      <c r="E101" s="7"/>
      <c r="F101" s="7"/>
      <c r="G101" s="7"/>
      <c r="H101" s="10"/>
      <c r="I101" s="19"/>
      <c r="J101" s="10"/>
      <c r="K101" s="10"/>
    </row>
    <row r="102" spans="2:11" ht="14.25" customHeight="1" x14ac:dyDescent="0.3">
      <c r="B102" s="7"/>
      <c r="C102" s="10"/>
      <c r="D102" s="12"/>
      <c r="E102" s="7"/>
      <c r="F102" s="7"/>
      <c r="G102" s="7"/>
      <c r="H102" s="10"/>
      <c r="I102" s="19"/>
      <c r="J102" s="10"/>
      <c r="K102" s="10"/>
    </row>
    <row r="103" spans="2:11" ht="14.25" customHeight="1" x14ac:dyDescent="0.3">
      <c r="B103" s="7"/>
      <c r="C103" s="10"/>
      <c r="D103" s="12"/>
      <c r="E103" s="7"/>
      <c r="F103" s="7"/>
      <c r="G103" s="7"/>
      <c r="H103" s="10"/>
      <c r="I103" s="19"/>
      <c r="J103" s="10"/>
      <c r="K103" s="10"/>
    </row>
    <row r="104" spans="2:11" ht="14.25" customHeight="1" x14ac:dyDescent="0.3">
      <c r="B104" s="7"/>
      <c r="C104" s="10"/>
      <c r="D104" s="12"/>
      <c r="E104" s="7"/>
      <c r="F104" s="7"/>
      <c r="G104" s="7"/>
      <c r="H104" s="10"/>
      <c r="I104" s="19"/>
      <c r="J104" s="10"/>
      <c r="K104" s="10"/>
    </row>
    <row r="105" spans="2:11" ht="14.25" customHeight="1" x14ac:dyDescent="0.3">
      <c r="B105" s="7"/>
      <c r="C105" s="10"/>
      <c r="D105" s="12"/>
      <c r="E105" s="7"/>
      <c r="F105" s="7"/>
      <c r="G105" s="7"/>
      <c r="H105" s="10"/>
      <c r="I105" s="19"/>
      <c r="J105" s="10"/>
      <c r="K105" s="10"/>
    </row>
    <row r="106" spans="2:11" ht="14.25" customHeight="1" x14ac:dyDescent="0.3">
      <c r="B106" s="7"/>
      <c r="C106" s="10"/>
      <c r="D106" s="12"/>
      <c r="E106" s="7"/>
      <c r="F106" s="7"/>
      <c r="G106" s="7"/>
      <c r="H106" s="10"/>
      <c r="I106" s="19"/>
      <c r="J106" s="10"/>
      <c r="K106" s="10"/>
    </row>
    <row r="107" spans="2:11" ht="14.25" customHeight="1" x14ac:dyDescent="0.3">
      <c r="B107" s="7"/>
      <c r="C107" s="10"/>
      <c r="D107" s="12"/>
      <c r="E107" s="7"/>
      <c r="F107" s="7"/>
      <c r="G107" s="7"/>
      <c r="H107" s="10"/>
      <c r="I107" s="19"/>
      <c r="J107" s="10"/>
      <c r="K107" s="10"/>
    </row>
    <row r="108" spans="2:11" ht="14.25" customHeight="1" x14ac:dyDescent="0.3">
      <c r="B108" s="7"/>
      <c r="C108" s="10"/>
      <c r="D108" s="12"/>
      <c r="E108" s="7"/>
      <c r="F108" s="7"/>
      <c r="G108" s="7"/>
      <c r="H108" s="10"/>
      <c r="I108" s="19"/>
      <c r="J108" s="10"/>
      <c r="K108" s="10"/>
    </row>
    <row r="109" spans="2:11" ht="14.25" customHeight="1" x14ac:dyDescent="0.3">
      <c r="B109" s="7"/>
      <c r="C109" s="10"/>
      <c r="D109" s="12"/>
      <c r="E109" s="7"/>
      <c r="F109" s="7"/>
      <c r="G109" s="7"/>
      <c r="H109" s="10"/>
      <c r="I109" s="19"/>
      <c r="J109" s="10"/>
      <c r="K109" s="10"/>
    </row>
    <row r="110" spans="2:11" ht="14.25" customHeight="1" x14ac:dyDescent="0.3">
      <c r="B110" s="7"/>
      <c r="C110" s="10"/>
      <c r="D110" s="12"/>
      <c r="E110" s="7"/>
      <c r="F110" s="7"/>
      <c r="G110" s="7"/>
      <c r="H110" s="10"/>
      <c r="I110" s="19"/>
      <c r="J110" s="10"/>
      <c r="K110" s="10"/>
    </row>
    <row r="111" spans="2:11" ht="14.25" customHeight="1" x14ac:dyDescent="0.3">
      <c r="B111" s="7"/>
      <c r="C111" s="10"/>
      <c r="D111" s="12"/>
      <c r="E111" s="7"/>
      <c r="F111" s="7"/>
      <c r="G111" s="7"/>
      <c r="H111" s="10"/>
      <c r="I111" s="19"/>
      <c r="J111" s="10"/>
      <c r="K111" s="10"/>
    </row>
    <row r="112" spans="2:11" ht="14.25" customHeight="1" x14ac:dyDescent="0.3">
      <c r="B112" s="7"/>
      <c r="C112" s="10"/>
      <c r="D112" s="12"/>
      <c r="E112" s="7"/>
      <c r="F112" s="7"/>
      <c r="G112" s="7"/>
      <c r="H112" s="10"/>
      <c r="I112" s="19"/>
      <c r="J112" s="10"/>
      <c r="K112" s="10"/>
    </row>
    <row r="113" spans="2:11" ht="14.25" customHeight="1" x14ac:dyDescent="0.3">
      <c r="B113" s="7"/>
      <c r="C113" s="10"/>
      <c r="D113" s="12"/>
      <c r="E113" s="7"/>
      <c r="F113" s="7"/>
      <c r="G113" s="7"/>
      <c r="H113" s="10"/>
      <c r="I113" s="19"/>
      <c r="J113" s="10"/>
      <c r="K113" s="10"/>
    </row>
    <row r="114" spans="2:11" ht="14.25" customHeight="1" x14ac:dyDescent="0.3">
      <c r="B114" s="7"/>
      <c r="C114" s="10"/>
      <c r="D114" s="12"/>
      <c r="E114" s="7"/>
      <c r="F114" s="7"/>
      <c r="G114" s="7"/>
      <c r="H114" s="10"/>
      <c r="I114" s="19"/>
      <c r="J114" s="10"/>
      <c r="K114" s="10"/>
    </row>
    <row r="115" spans="2:11" ht="14.25" customHeight="1" x14ac:dyDescent="0.3">
      <c r="B115" s="7"/>
      <c r="C115" s="10"/>
      <c r="D115" s="12"/>
      <c r="E115" s="7"/>
      <c r="F115" s="7"/>
      <c r="G115" s="7"/>
      <c r="H115" s="10"/>
      <c r="I115" s="19"/>
      <c r="J115" s="10"/>
      <c r="K115" s="10"/>
    </row>
    <row r="116" spans="2:11" ht="14.25" customHeight="1" x14ac:dyDescent="0.3">
      <c r="B116" s="7"/>
      <c r="C116" s="10"/>
      <c r="D116" s="12"/>
      <c r="E116" s="7"/>
      <c r="F116" s="7"/>
      <c r="G116" s="7"/>
      <c r="H116" s="10"/>
      <c r="I116" s="19"/>
      <c r="J116" s="10"/>
      <c r="K116" s="10"/>
    </row>
    <row r="117" spans="2:11" ht="14.25" customHeight="1" x14ac:dyDescent="0.3">
      <c r="B117" s="7"/>
      <c r="C117" s="10"/>
      <c r="D117" s="12"/>
      <c r="E117" s="7"/>
      <c r="F117" s="7"/>
      <c r="G117" s="7"/>
      <c r="H117" s="10"/>
      <c r="I117" s="19"/>
      <c r="J117" s="10"/>
      <c r="K117" s="10"/>
    </row>
    <row r="118" spans="2:11" ht="14.25" customHeight="1" x14ac:dyDescent="0.3">
      <c r="B118" s="7"/>
      <c r="C118" s="10"/>
      <c r="D118" s="12"/>
      <c r="E118" s="7"/>
      <c r="F118" s="7"/>
      <c r="G118" s="7"/>
      <c r="H118" s="10"/>
      <c r="I118" s="19"/>
      <c r="J118" s="10"/>
      <c r="K118" s="10"/>
    </row>
    <row r="119" spans="2:11" ht="14.25" customHeight="1" x14ac:dyDescent="0.3">
      <c r="B119" s="7"/>
      <c r="C119" s="10"/>
      <c r="D119" s="12"/>
      <c r="E119" s="7"/>
      <c r="F119" s="7"/>
      <c r="G119" s="7"/>
      <c r="H119" s="10"/>
      <c r="I119" s="19"/>
      <c r="J119" s="10"/>
      <c r="K119" s="10"/>
    </row>
    <row r="120" spans="2:11" ht="14.25" customHeight="1" x14ac:dyDescent="0.3">
      <c r="B120" s="7"/>
      <c r="C120" s="10"/>
      <c r="D120" s="12"/>
      <c r="E120" s="7"/>
      <c r="F120" s="7"/>
      <c r="G120" s="7"/>
      <c r="H120" s="10"/>
      <c r="I120" s="19"/>
      <c r="J120" s="10"/>
      <c r="K120" s="10"/>
    </row>
    <row r="121" spans="2:11" ht="14.25" customHeight="1" x14ac:dyDescent="0.3">
      <c r="B121" s="7"/>
      <c r="C121" s="10"/>
      <c r="D121" s="12"/>
      <c r="E121" s="7"/>
      <c r="F121" s="7"/>
      <c r="G121" s="7"/>
      <c r="H121" s="10"/>
      <c r="I121" s="19"/>
      <c r="J121" s="10"/>
      <c r="K121" s="10"/>
    </row>
    <row r="122" spans="2:11" ht="14.25" customHeight="1" x14ac:dyDescent="0.3">
      <c r="B122" s="7"/>
      <c r="C122" s="10"/>
      <c r="D122" s="12"/>
      <c r="E122" s="7"/>
      <c r="F122" s="7"/>
      <c r="G122" s="7"/>
      <c r="H122" s="10"/>
      <c r="I122" s="19"/>
      <c r="J122" s="10"/>
      <c r="K122" s="10"/>
    </row>
    <row r="123" spans="2:11" ht="14.25" customHeight="1" x14ac:dyDescent="0.3">
      <c r="B123" s="7"/>
      <c r="C123" s="10"/>
      <c r="D123" s="12"/>
      <c r="E123" s="7"/>
      <c r="F123" s="7"/>
      <c r="G123" s="7"/>
      <c r="H123" s="10"/>
      <c r="I123" s="19"/>
      <c r="J123" s="10"/>
      <c r="K123" s="10"/>
    </row>
    <row r="124" spans="2:11" ht="14.25" customHeight="1" x14ac:dyDescent="0.3">
      <c r="B124" s="7"/>
      <c r="C124" s="10"/>
      <c r="D124" s="12"/>
      <c r="E124" s="7"/>
      <c r="F124" s="7"/>
      <c r="G124" s="7"/>
      <c r="H124" s="10"/>
      <c r="I124" s="19"/>
      <c r="J124" s="10"/>
      <c r="K124" s="10"/>
    </row>
    <row r="125" spans="2:11" ht="14.25" customHeight="1" x14ac:dyDescent="0.3">
      <c r="B125" s="7"/>
      <c r="C125" s="10"/>
      <c r="D125" s="12"/>
      <c r="E125" s="7"/>
      <c r="F125" s="7"/>
      <c r="G125" s="7"/>
      <c r="H125" s="10"/>
      <c r="I125" s="19"/>
      <c r="J125" s="10"/>
      <c r="K125" s="10"/>
    </row>
    <row r="126" spans="2:11" ht="14.25" customHeight="1" x14ac:dyDescent="0.3">
      <c r="B126" s="7"/>
      <c r="C126" s="10"/>
      <c r="D126" s="12"/>
      <c r="E126" s="7"/>
      <c r="F126" s="7"/>
      <c r="G126" s="7"/>
      <c r="H126" s="10"/>
      <c r="I126" s="19"/>
      <c r="J126" s="10"/>
      <c r="K126" s="10"/>
    </row>
    <row r="127" spans="2:11" ht="14.25" customHeight="1" x14ac:dyDescent="0.3">
      <c r="B127" s="7"/>
      <c r="C127" s="10"/>
      <c r="D127" s="12"/>
      <c r="E127" s="7"/>
      <c r="F127" s="7"/>
      <c r="G127" s="7"/>
      <c r="H127" s="10"/>
      <c r="I127" s="19"/>
      <c r="J127" s="10"/>
      <c r="K127" s="10"/>
    </row>
    <row r="128" spans="2:11" ht="14.25" customHeight="1" x14ac:dyDescent="0.3">
      <c r="B128" s="7"/>
      <c r="C128" s="10"/>
      <c r="D128" s="12"/>
      <c r="E128" s="7"/>
      <c r="F128" s="7"/>
      <c r="G128" s="7"/>
      <c r="H128" s="10"/>
      <c r="I128" s="19"/>
      <c r="J128" s="10"/>
      <c r="K128" s="10"/>
    </row>
    <row r="129" spans="2:11" ht="14.25" customHeight="1" x14ac:dyDescent="0.3">
      <c r="B129" s="7"/>
      <c r="C129" s="10"/>
      <c r="D129" s="12"/>
      <c r="E129" s="7"/>
      <c r="F129" s="7"/>
      <c r="G129" s="7"/>
      <c r="H129" s="10"/>
      <c r="I129" s="19"/>
      <c r="J129" s="10"/>
      <c r="K129" s="10"/>
    </row>
    <row r="130" spans="2:11" ht="14.25" customHeight="1" x14ac:dyDescent="0.3">
      <c r="B130" s="7"/>
      <c r="C130" s="10"/>
      <c r="D130" s="12"/>
      <c r="E130" s="7"/>
      <c r="F130" s="7"/>
      <c r="G130" s="7"/>
      <c r="H130" s="10"/>
      <c r="I130" s="19"/>
      <c r="J130" s="10"/>
      <c r="K130" s="10"/>
    </row>
    <row r="131" spans="2:11" ht="14.25" customHeight="1" x14ac:dyDescent="0.3">
      <c r="B131" s="7"/>
      <c r="C131" s="10"/>
      <c r="D131" s="12"/>
      <c r="E131" s="7"/>
      <c r="F131" s="7"/>
      <c r="G131" s="7"/>
      <c r="H131" s="10"/>
      <c r="I131" s="19"/>
      <c r="J131" s="10"/>
      <c r="K131" s="10"/>
    </row>
    <row r="132" spans="2:11" ht="14.25" customHeight="1" x14ac:dyDescent="0.3">
      <c r="B132" s="7"/>
      <c r="C132" s="10"/>
      <c r="D132" s="12"/>
      <c r="E132" s="7"/>
      <c r="F132" s="7"/>
      <c r="G132" s="7"/>
      <c r="H132" s="10"/>
      <c r="I132" s="19"/>
      <c r="J132" s="10"/>
      <c r="K132" s="10"/>
    </row>
    <row r="133" spans="2:11" ht="14.25" customHeight="1" x14ac:dyDescent="0.3">
      <c r="B133" s="7"/>
      <c r="C133" s="10"/>
      <c r="D133" s="12"/>
      <c r="E133" s="7"/>
      <c r="F133" s="7"/>
      <c r="G133" s="7"/>
      <c r="H133" s="10"/>
      <c r="I133" s="19"/>
      <c r="J133" s="10"/>
      <c r="K133" s="10"/>
    </row>
    <row r="134" spans="2:11" ht="14.25" customHeight="1" x14ac:dyDescent="0.3">
      <c r="B134" s="7"/>
      <c r="C134" s="10"/>
      <c r="D134" s="12"/>
      <c r="E134" s="7"/>
      <c r="F134" s="7"/>
      <c r="G134" s="7"/>
      <c r="H134" s="10"/>
      <c r="I134" s="19"/>
      <c r="J134" s="10"/>
      <c r="K134" s="10"/>
    </row>
    <row r="135" spans="2:11" ht="14.25" customHeight="1" x14ac:dyDescent="0.3">
      <c r="B135" s="7"/>
      <c r="C135" s="10"/>
      <c r="D135" s="12"/>
      <c r="E135" s="7"/>
      <c r="F135" s="7"/>
      <c r="G135" s="7"/>
      <c r="H135" s="10"/>
      <c r="I135" s="19"/>
      <c r="J135" s="10"/>
      <c r="K135" s="10"/>
    </row>
    <row r="136" spans="2:11" ht="14.25" customHeight="1" x14ac:dyDescent="0.3">
      <c r="B136" s="7"/>
      <c r="C136" s="10"/>
      <c r="D136" s="12"/>
      <c r="E136" s="7"/>
      <c r="F136" s="7"/>
      <c r="G136" s="7"/>
      <c r="H136" s="10"/>
      <c r="I136" s="19"/>
      <c r="J136" s="10"/>
      <c r="K136" s="10"/>
    </row>
    <row r="137" spans="2:11" ht="14.25" customHeight="1" x14ac:dyDescent="0.3">
      <c r="B137" s="7"/>
      <c r="C137" s="10"/>
      <c r="D137" s="12"/>
      <c r="E137" s="7"/>
      <c r="F137" s="7"/>
      <c r="G137" s="7"/>
      <c r="H137" s="10"/>
      <c r="I137" s="19"/>
      <c r="J137" s="10"/>
      <c r="K137" s="10"/>
    </row>
    <row r="138" spans="2:11" ht="14.25" customHeight="1" x14ac:dyDescent="0.3">
      <c r="B138" s="7"/>
      <c r="C138" s="10"/>
      <c r="D138" s="12"/>
      <c r="E138" s="7"/>
      <c r="F138" s="7"/>
      <c r="G138" s="7"/>
      <c r="H138" s="10"/>
      <c r="I138" s="19"/>
      <c r="J138" s="10"/>
      <c r="K138" s="10"/>
    </row>
    <row r="139" spans="2:11" ht="14.25" customHeight="1" x14ac:dyDescent="0.3">
      <c r="B139" s="7"/>
      <c r="C139" s="10"/>
      <c r="D139" s="12"/>
      <c r="E139" s="7"/>
      <c r="F139" s="7"/>
      <c r="G139" s="7"/>
      <c r="H139" s="10"/>
      <c r="I139" s="19"/>
      <c r="J139" s="10"/>
      <c r="K139" s="10"/>
    </row>
    <row r="140" spans="2:11" ht="14.25" customHeight="1" x14ac:dyDescent="0.3">
      <c r="B140" s="7"/>
      <c r="C140" s="10"/>
      <c r="D140" s="12"/>
      <c r="E140" s="7"/>
      <c r="F140" s="7"/>
      <c r="G140" s="7"/>
      <c r="H140" s="10"/>
      <c r="I140" s="19"/>
      <c r="J140" s="10"/>
      <c r="K140" s="10"/>
    </row>
    <row r="141" spans="2:11" ht="14.25" customHeight="1" x14ac:dyDescent="0.3">
      <c r="B141" s="7"/>
      <c r="C141" s="10"/>
      <c r="D141" s="12"/>
      <c r="E141" s="7"/>
      <c r="F141" s="7"/>
      <c r="G141" s="7"/>
      <c r="H141" s="10"/>
      <c r="I141" s="19"/>
      <c r="J141" s="10"/>
      <c r="K141" s="10"/>
    </row>
    <row r="142" spans="2:11" ht="14.25" customHeight="1" x14ac:dyDescent="0.3">
      <c r="B142" s="7"/>
      <c r="C142" s="10"/>
      <c r="D142" s="12"/>
      <c r="E142" s="7"/>
      <c r="F142" s="7"/>
      <c r="G142" s="7"/>
      <c r="H142" s="10"/>
      <c r="I142" s="19"/>
      <c r="J142" s="10"/>
      <c r="K142" s="10"/>
    </row>
    <row r="143" spans="2:11" ht="14.25" customHeight="1" x14ac:dyDescent="0.3">
      <c r="B143" s="7"/>
      <c r="C143" s="10"/>
      <c r="D143" s="12"/>
      <c r="E143" s="7"/>
      <c r="F143" s="7"/>
      <c r="G143" s="7"/>
      <c r="H143" s="10"/>
      <c r="I143" s="19"/>
      <c r="J143" s="10"/>
      <c r="K143" s="10"/>
    </row>
    <row r="144" spans="2:11" ht="14.25" customHeight="1" x14ac:dyDescent="0.3">
      <c r="B144" s="7"/>
      <c r="C144" s="10"/>
      <c r="D144" s="12"/>
      <c r="E144" s="7"/>
      <c r="F144" s="7"/>
      <c r="G144" s="7"/>
      <c r="H144" s="10"/>
      <c r="I144" s="19"/>
      <c r="J144" s="10"/>
      <c r="K144" s="10"/>
    </row>
    <row r="145" spans="2:11" ht="14.25" customHeight="1" x14ac:dyDescent="0.3">
      <c r="B145" s="7"/>
      <c r="C145" s="10"/>
      <c r="D145" s="12"/>
      <c r="E145" s="7"/>
      <c r="F145" s="7"/>
      <c r="G145" s="7"/>
      <c r="H145" s="10"/>
      <c r="I145" s="19"/>
      <c r="J145" s="10"/>
      <c r="K145" s="10"/>
    </row>
    <row r="146" spans="2:11" ht="14.25" customHeight="1" x14ac:dyDescent="0.3">
      <c r="B146" s="7"/>
      <c r="C146" s="10"/>
      <c r="D146" s="12"/>
      <c r="E146" s="7"/>
      <c r="F146" s="7"/>
      <c r="G146" s="7"/>
      <c r="H146" s="10"/>
      <c r="I146" s="19"/>
      <c r="J146" s="10"/>
      <c r="K146" s="10"/>
    </row>
    <row r="147" spans="2:11" ht="14.25" customHeight="1" x14ac:dyDescent="0.3">
      <c r="B147" s="7"/>
      <c r="C147" s="10"/>
      <c r="D147" s="12"/>
      <c r="E147" s="7"/>
      <c r="F147" s="7"/>
      <c r="G147" s="7"/>
      <c r="H147" s="10"/>
      <c r="I147" s="19"/>
      <c r="J147" s="10"/>
      <c r="K147" s="10"/>
    </row>
    <row r="148" spans="2:11" ht="14.25" customHeight="1" x14ac:dyDescent="0.3">
      <c r="B148" s="7"/>
      <c r="C148" s="10"/>
      <c r="D148" s="12"/>
      <c r="E148" s="7"/>
      <c r="F148" s="7"/>
      <c r="G148" s="7"/>
      <c r="H148" s="10"/>
      <c r="I148" s="19"/>
      <c r="J148" s="10"/>
      <c r="K148" s="10"/>
    </row>
    <row r="149" spans="2:11" ht="14.25" customHeight="1" x14ac:dyDescent="0.3">
      <c r="B149" s="7"/>
      <c r="C149" s="10"/>
      <c r="D149" s="12"/>
      <c r="E149" s="7"/>
      <c r="F149" s="7"/>
      <c r="G149" s="7"/>
      <c r="H149" s="10"/>
      <c r="I149" s="19"/>
      <c r="J149" s="10"/>
      <c r="K149" s="10"/>
    </row>
    <row r="150" spans="2:11" ht="14.25" customHeight="1" x14ac:dyDescent="0.3">
      <c r="B150" s="7"/>
      <c r="C150" s="10"/>
      <c r="D150" s="12"/>
      <c r="E150" s="7"/>
      <c r="F150" s="7"/>
      <c r="G150" s="7"/>
      <c r="H150" s="10"/>
      <c r="I150" s="19"/>
      <c r="J150" s="10"/>
      <c r="K150" s="10"/>
    </row>
    <row r="151" spans="2:11" ht="14.25" customHeight="1" x14ac:dyDescent="0.3">
      <c r="B151" s="7"/>
      <c r="C151" s="10"/>
      <c r="D151" s="12"/>
      <c r="E151" s="7"/>
      <c r="F151" s="7"/>
      <c r="G151" s="7"/>
      <c r="H151" s="10"/>
      <c r="I151" s="19"/>
      <c r="J151" s="10"/>
      <c r="K151" s="10"/>
    </row>
    <row r="152" spans="2:11" ht="14.25" customHeight="1" x14ac:dyDescent="0.3">
      <c r="B152" s="7"/>
      <c r="C152" s="10"/>
      <c r="D152" s="12"/>
      <c r="E152" s="7"/>
      <c r="F152" s="7"/>
      <c r="G152" s="7"/>
      <c r="H152" s="10"/>
      <c r="I152" s="19"/>
      <c r="J152" s="10"/>
      <c r="K152" s="10"/>
    </row>
    <row r="153" spans="2:11" ht="14.25" customHeight="1" x14ac:dyDescent="0.3">
      <c r="B153" s="7"/>
      <c r="C153" s="10"/>
      <c r="D153" s="12"/>
      <c r="E153" s="7"/>
      <c r="F153" s="7"/>
      <c r="G153" s="7"/>
      <c r="H153" s="10"/>
      <c r="I153" s="19"/>
      <c r="J153" s="10"/>
      <c r="K153" s="10"/>
    </row>
    <row r="154" spans="2:11" ht="14.25" customHeight="1" x14ac:dyDescent="0.3">
      <c r="B154" s="7"/>
      <c r="C154" s="10"/>
      <c r="D154" s="12"/>
      <c r="E154" s="7"/>
      <c r="F154" s="7"/>
      <c r="G154" s="7"/>
      <c r="H154" s="10"/>
      <c r="I154" s="19"/>
      <c r="J154" s="10"/>
      <c r="K154" s="10"/>
    </row>
    <row r="155" spans="2:11" ht="14.25" customHeight="1" x14ac:dyDescent="0.3">
      <c r="B155" s="7"/>
      <c r="C155" s="10"/>
      <c r="D155" s="12"/>
      <c r="E155" s="7"/>
      <c r="F155" s="7"/>
      <c r="G155" s="7"/>
      <c r="H155" s="10"/>
      <c r="I155" s="19"/>
      <c r="J155" s="10"/>
      <c r="K155" s="10"/>
    </row>
    <row r="156" spans="2:11" ht="14.25" customHeight="1" x14ac:dyDescent="0.3">
      <c r="B156" s="7"/>
      <c r="C156" s="10"/>
      <c r="D156" s="12"/>
      <c r="E156" s="7"/>
      <c r="F156" s="7"/>
      <c r="G156" s="7"/>
      <c r="H156" s="10"/>
      <c r="I156" s="19"/>
      <c r="J156" s="10"/>
      <c r="K156" s="10"/>
    </row>
    <row r="157" spans="2:11" ht="14.25" customHeight="1" x14ac:dyDescent="0.3">
      <c r="B157" s="7"/>
      <c r="C157" s="10"/>
      <c r="D157" s="12"/>
      <c r="E157" s="7"/>
      <c r="F157" s="7"/>
      <c r="G157" s="7"/>
      <c r="H157" s="10"/>
      <c r="I157" s="19"/>
      <c r="J157" s="10"/>
      <c r="K157" s="10"/>
    </row>
    <row r="158" spans="2:11" ht="14.25" customHeight="1" x14ac:dyDescent="0.3">
      <c r="B158" s="7"/>
      <c r="C158" s="10"/>
      <c r="D158" s="12"/>
      <c r="E158" s="7"/>
      <c r="F158" s="7"/>
      <c r="G158" s="7"/>
      <c r="H158" s="10"/>
      <c r="I158" s="19"/>
      <c r="J158" s="10"/>
      <c r="K158" s="10"/>
    </row>
    <row r="159" spans="2:11" ht="14.25" customHeight="1" x14ac:dyDescent="0.3">
      <c r="B159" s="7"/>
      <c r="C159" s="10"/>
      <c r="D159" s="12"/>
      <c r="E159" s="7"/>
      <c r="F159" s="7"/>
      <c r="G159" s="7"/>
      <c r="H159" s="10"/>
      <c r="I159" s="19"/>
      <c r="J159" s="10"/>
      <c r="K159" s="10"/>
    </row>
    <row r="160" spans="2:11" ht="14.25" customHeight="1" x14ac:dyDescent="0.3">
      <c r="B160" s="7"/>
      <c r="C160" s="10"/>
      <c r="D160" s="12"/>
      <c r="E160" s="7"/>
      <c r="F160" s="7"/>
      <c r="G160" s="7"/>
      <c r="H160" s="10"/>
      <c r="I160" s="19"/>
      <c r="J160" s="10"/>
      <c r="K160" s="10"/>
    </row>
    <row r="161" spans="2:11" ht="14.25" customHeight="1" x14ac:dyDescent="0.3">
      <c r="B161" s="7"/>
      <c r="C161" s="10"/>
      <c r="D161" s="12"/>
      <c r="E161" s="7"/>
      <c r="F161" s="7"/>
      <c r="G161" s="7"/>
      <c r="H161" s="10"/>
      <c r="I161" s="19"/>
      <c r="J161" s="10"/>
      <c r="K161" s="10"/>
    </row>
    <row r="162" spans="2:11" ht="14.25" customHeight="1" x14ac:dyDescent="0.3">
      <c r="B162" s="7"/>
      <c r="C162" s="10"/>
      <c r="D162" s="12"/>
      <c r="E162" s="7"/>
      <c r="F162" s="7"/>
      <c r="G162" s="7"/>
      <c r="H162" s="10"/>
      <c r="I162" s="19"/>
      <c r="J162" s="10"/>
      <c r="K162" s="10"/>
    </row>
    <row r="163" spans="2:11" ht="14.25" customHeight="1" x14ac:dyDescent="0.3">
      <c r="B163" s="7"/>
      <c r="C163" s="10"/>
      <c r="D163" s="12"/>
      <c r="E163" s="7"/>
      <c r="F163" s="7"/>
      <c r="G163" s="7"/>
      <c r="H163" s="10"/>
      <c r="I163" s="19"/>
      <c r="J163" s="10"/>
      <c r="K163" s="10"/>
    </row>
    <row r="164" spans="2:11" ht="14.25" customHeight="1" x14ac:dyDescent="0.3">
      <c r="B164" s="7"/>
      <c r="C164" s="10"/>
      <c r="D164" s="12"/>
      <c r="E164" s="7"/>
      <c r="F164" s="7"/>
      <c r="G164" s="7"/>
      <c r="H164" s="10"/>
      <c r="I164" s="19"/>
      <c r="J164" s="10"/>
      <c r="K164" s="10"/>
    </row>
    <row r="165" spans="2:11" ht="14.25" customHeight="1" x14ac:dyDescent="0.3">
      <c r="B165" s="7"/>
      <c r="C165" s="10"/>
      <c r="D165" s="12"/>
      <c r="E165" s="7"/>
      <c r="F165" s="7"/>
      <c r="G165" s="7"/>
      <c r="H165" s="10"/>
      <c r="I165" s="19"/>
      <c r="J165" s="10"/>
      <c r="K165" s="10"/>
    </row>
    <row r="166" spans="2:11" ht="14.25" customHeight="1" x14ac:dyDescent="0.3">
      <c r="B166" s="7"/>
      <c r="C166" s="10"/>
      <c r="D166" s="12"/>
      <c r="E166" s="7"/>
      <c r="F166" s="7"/>
      <c r="G166" s="7"/>
      <c r="H166" s="10"/>
      <c r="I166" s="19"/>
      <c r="J166" s="10"/>
      <c r="K166" s="10"/>
    </row>
    <row r="167" spans="2:11" ht="14.25" customHeight="1" x14ac:dyDescent="0.3">
      <c r="B167" s="7"/>
      <c r="C167" s="10"/>
      <c r="D167" s="12"/>
      <c r="E167" s="7"/>
      <c r="F167" s="7"/>
      <c r="G167" s="7"/>
      <c r="H167" s="10"/>
      <c r="I167" s="19"/>
      <c r="J167" s="10"/>
      <c r="K167" s="10"/>
    </row>
    <row r="168" spans="2:11" ht="14.25" customHeight="1" x14ac:dyDescent="0.3">
      <c r="B168" s="7"/>
      <c r="C168" s="10"/>
      <c r="D168" s="12"/>
      <c r="E168" s="7"/>
      <c r="F168" s="7"/>
      <c r="G168" s="7"/>
      <c r="H168" s="10"/>
      <c r="I168" s="19"/>
      <c r="J168" s="10"/>
      <c r="K168" s="10"/>
    </row>
    <row r="169" spans="2:11" ht="14.25" customHeight="1" x14ac:dyDescent="0.3">
      <c r="B169" s="7"/>
      <c r="C169" s="10"/>
      <c r="D169" s="12"/>
      <c r="E169" s="7"/>
      <c r="F169" s="7"/>
      <c r="G169" s="7"/>
      <c r="H169" s="10"/>
      <c r="I169" s="19"/>
      <c r="J169" s="10"/>
      <c r="K169" s="10"/>
    </row>
    <row r="170" spans="2:11" ht="14.25" customHeight="1" x14ac:dyDescent="0.3">
      <c r="B170" s="7"/>
      <c r="C170" s="10"/>
      <c r="D170" s="12"/>
      <c r="E170" s="7"/>
      <c r="F170" s="7"/>
      <c r="G170" s="7"/>
      <c r="H170" s="10"/>
      <c r="I170" s="19"/>
      <c r="J170" s="10"/>
      <c r="K170" s="10"/>
    </row>
    <row r="171" spans="2:11" ht="14.25" customHeight="1" x14ac:dyDescent="0.3">
      <c r="B171" s="7"/>
      <c r="C171" s="10"/>
      <c r="D171" s="12"/>
      <c r="E171" s="7"/>
      <c r="F171" s="7"/>
      <c r="G171" s="7"/>
      <c r="H171" s="10"/>
      <c r="I171" s="19"/>
      <c r="J171" s="10"/>
      <c r="K171" s="10"/>
    </row>
    <row r="172" spans="2:11" ht="14.25" customHeight="1" x14ac:dyDescent="0.3">
      <c r="B172" s="7"/>
      <c r="C172" s="10"/>
      <c r="D172" s="12"/>
      <c r="E172" s="7"/>
      <c r="F172" s="7"/>
      <c r="G172" s="7"/>
      <c r="H172" s="10"/>
      <c r="I172" s="19"/>
      <c r="J172" s="10"/>
      <c r="K172" s="10"/>
    </row>
    <row r="173" spans="2:11" ht="14.25" customHeight="1" x14ac:dyDescent="0.3">
      <c r="B173" s="7"/>
      <c r="C173" s="10"/>
      <c r="D173" s="12"/>
      <c r="E173" s="7"/>
      <c r="F173" s="7"/>
      <c r="G173" s="7"/>
      <c r="H173" s="10"/>
      <c r="I173" s="19"/>
      <c r="J173" s="10"/>
      <c r="K173" s="10"/>
    </row>
    <row r="174" spans="2:11" ht="14.25" customHeight="1" x14ac:dyDescent="0.3">
      <c r="B174" s="7"/>
      <c r="C174" s="10"/>
      <c r="D174" s="12"/>
      <c r="E174" s="7"/>
      <c r="F174" s="7"/>
      <c r="G174" s="7"/>
      <c r="H174" s="10"/>
      <c r="I174" s="19"/>
      <c r="J174" s="10"/>
      <c r="K174" s="10"/>
    </row>
    <row r="175" spans="2:11" ht="14.25" customHeight="1" x14ac:dyDescent="0.3">
      <c r="B175" s="7"/>
      <c r="C175" s="10"/>
      <c r="D175" s="12"/>
      <c r="E175" s="7"/>
      <c r="F175" s="7"/>
      <c r="G175" s="7"/>
      <c r="H175" s="10"/>
      <c r="I175" s="19"/>
      <c r="J175" s="10"/>
      <c r="K175" s="10"/>
    </row>
    <row r="176" spans="2:11" ht="14.25" customHeight="1" x14ac:dyDescent="0.3">
      <c r="B176" s="7"/>
      <c r="C176" s="10"/>
      <c r="D176" s="12"/>
      <c r="E176" s="7"/>
      <c r="F176" s="7"/>
      <c r="G176" s="7"/>
      <c r="H176" s="10"/>
      <c r="I176" s="19"/>
      <c r="J176" s="10"/>
      <c r="K176" s="10"/>
    </row>
    <row r="177" spans="2:11" ht="14.25" customHeight="1" x14ac:dyDescent="0.3">
      <c r="B177" s="7"/>
      <c r="C177" s="10"/>
      <c r="D177" s="12"/>
      <c r="E177" s="7"/>
      <c r="F177" s="7"/>
      <c r="G177" s="7"/>
      <c r="H177" s="10"/>
      <c r="I177" s="19"/>
      <c r="J177" s="10"/>
      <c r="K177" s="10"/>
    </row>
    <row r="178" spans="2:11" ht="14.25" customHeight="1" x14ac:dyDescent="0.3">
      <c r="B178" s="7"/>
      <c r="C178" s="10"/>
      <c r="D178" s="12"/>
      <c r="E178" s="7"/>
      <c r="F178" s="7"/>
      <c r="G178" s="7"/>
      <c r="H178" s="10"/>
      <c r="I178" s="19"/>
      <c r="J178" s="10"/>
      <c r="K178" s="10"/>
    </row>
    <row r="179" spans="2:11" ht="14.25" customHeight="1" x14ac:dyDescent="0.3">
      <c r="B179" s="7"/>
      <c r="C179" s="10"/>
      <c r="D179" s="12"/>
      <c r="E179" s="7"/>
      <c r="F179" s="7"/>
      <c r="G179" s="7"/>
      <c r="H179" s="10"/>
      <c r="I179" s="19"/>
      <c r="J179" s="10"/>
      <c r="K179" s="10"/>
    </row>
    <row r="180" spans="2:11" ht="14.25" customHeight="1" x14ac:dyDescent="0.3">
      <c r="B180" s="7"/>
      <c r="C180" s="10"/>
      <c r="D180" s="12"/>
      <c r="E180" s="7"/>
      <c r="F180" s="7"/>
      <c r="G180" s="7"/>
      <c r="H180" s="10"/>
      <c r="I180" s="19"/>
      <c r="J180" s="10"/>
      <c r="K180" s="10"/>
    </row>
    <row r="181" spans="2:11" ht="14.25" customHeight="1" x14ac:dyDescent="0.3">
      <c r="B181" s="7"/>
      <c r="C181" s="10"/>
      <c r="D181" s="12"/>
      <c r="E181" s="7"/>
      <c r="F181" s="7"/>
      <c r="G181" s="7"/>
      <c r="H181" s="10"/>
      <c r="I181" s="19"/>
      <c r="J181" s="10"/>
      <c r="K181" s="10"/>
    </row>
    <row r="182" spans="2:11" ht="14.25" customHeight="1" x14ac:dyDescent="0.3">
      <c r="B182" s="7"/>
      <c r="C182" s="10"/>
      <c r="D182" s="12"/>
      <c r="E182" s="7"/>
      <c r="F182" s="7"/>
      <c r="G182" s="7"/>
      <c r="H182" s="10"/>
      <c r="I182" s="19"/>
      <c r="J182" s="10"/>
      <c r="K182" s="10"/>
    </row>
    <row r="183" spans="2:11" ht="14.25" customHeight="1" x14ac:dyDescent="0.3">
      <c r="B183" s="7"/>
      <c r="C183" s="10"/>
      <c r="D183" s="12"/>
      <c r="E183" s="7"/>
      <c r="F183" s="7"/>
      <c r="G183" s="7"/>
      <c r="H183" s="10"/>
      <c r="I183" s="19"/>
      <c r="J183" s="10"/>
      <c r="K183" s="10"/>
    </row>
    <row r="184" spans="2:11" ht="14.25" customHeight="1" x14ac:dyDescent="0.3">
      <c r="B184" s="7"/>
      <c r="C184" s="10"/>
      <c r="D184" s="12"/>
      <c r="E184" s="7"/>
      <c r="F184" s="7"/>
      <c r="G184" s="7"/>
      <c r="H184" s="10"/>
      <c r="I184" s="19"/>
      <c r="J184" s="10"/>
      <c r="K184" s="10"/>
    </row>
    <row r="185" spans="2:11" ht="14.25" customHeight="1" x14ac:dyDescent="0.3">
      <c r="B185" s="7"/>
      <c r="C185" s="10"/>
      <c r="D185" s="12"/>
      <c r="E185" s="7"/>
      <c r="F185" s="7"/>
      <c r="G185" s="7"/>
      <c r="H185" s="10"/>
      <c r="I185" s="19"/>
      <c r="J185" s="10"/>
      <c r="K185" s="10"/>
    </row>
    <row r="186" spans="2:11" ht="14.25" customHeight="1" x14ac:dyDescent="0.3">
      <c r="B186" s="7"/>
      <c r="C186" s="10"/>
      <c r="D186" s="12"/>
      <c r="E186" s="7"/>
      <c r="F186" s="7"/>
      <c r="G186" s="7"/>
      <c r="H186" s="10"/>
      <c r="I186" s="19"/>
      <c r="J186" s="10"/>
      <c r="K186" s="10"/>
    </row>
    <row r="187" spans="2:11" ht="14.25" customHeight="1" x14ac:dyDescent="0.3">
      <c r="B187" s="7"/>
      <c r="C187" s="10"/>
      <c r="D187" s="12"/>
      <c r="E187" s="7"/>
      <c r="F187" s="7"/>
      <c r="G187" s="7"/>
      <c r="H187" s="10"/>
      <c r="I187" s="19"/>
      <c r="J187" s="10"/>
      <c r="K187" s="10"/>
    </row>
    <row r="188" spans="2:11" ht="14.25" customHeight="1" x14ac:dyDescent="0.3">
      <c r="B188" s="7"/>
      <c r="C188" s="10"/>
      <c r="D188" s="12"/>
      <c r="E188" s="7"/>
      <c r="F188" s="7"/>
      <c r="G188" s="7"/>
      <c r="H188" s="10"/>
      <c r="I188" s="19"/>
      <c r="J188" s="10"/>
      <c r="K188" s="10"/>
    </row>
    <row r="189" spans="2:11" ht="14.25" customHeight="1" x14ac:dyDescent="0.3">
      <c r="B189" s="7"/>
      <c r="C189" s="10"/>
      <c r="D189" s="12"/>
      <c r="E189" s="7"/>
      <c r="F189" s="7"/>
      <c r="G189" s="7"/>
      <c r="H189" s="10"/>
      <c r="I189" s="19"/>
      <c r="J189" s="10"/>
      <c r="K189" s="10"/>
    </row>
    <row r="190" spans="2:11" ht="14.25" customHeight="1" x14ac:dyDescent="0.3">
      <c r="B190" s="7"/>
      <c r="C190" s="10"/>
      <c r="D190" s="12"/>
      <c r="E190" s="7"/>
      <c r="F190" s="7"/>
      <c r="G190" s="7"/>
      <c r="H190" s="10"/>
      <c r="I190" s="19"/>
      <c r="J190" s="10"/>
      <c r="K190" s="10"/>
    </row>
    <row r="191" spans="2:11" ht="14.25" customHeight="1" x14ac:dyDescent="0.3">
      <c r="B191" s="7"/>
      <c r="C191" s="10"/>
      <c r="D191" s="12"/>
      <c r="E191" s="7"/>
      <c r="F191" s="7"/>
      <c r="G191" s="7"/>
      <c r="H191" s="10"/>
      <c r="I191" s="19"/>
      <c r="J191" s="10"/>
      <c r="K191" s="10"/>
    </row>
    <row r="192" spans="2:11" ht="14.25" customHeight="1" x14ac:dyDescent="0.3">
      <c r="B192" s="7"/>
      <c r="C192" s="10"/>
      <c r="D192" s="12"/>
      <c r="E192" s="7"/>
      <c r="F192" s="7"/>
      <c r="G192" s="7"/>
      <c r="H192" s="10"/>
      <c r="I192" s="19"/>
      <c r="J192" s="10"/>
      <c r="K192" s="10"/>
    </row>
    <row r="193" spans="2:11" ht="14.25" customHeight="1" x14ac:dyDescent="0.3">
      <c r="B193" s="7"/>
      <c r="C193" s="10"/>
      <c r="D193" s="12"/>
      <c r="E193" s="7"/>
      <c r="F193" s="7"/>
      <c r="G193" s="7"/>
      <c r="H193" s="10"/>
      <c r="I193" s="19"/>
      <c r="J193" s="10"/>
      <c r="K193" s="10"/>
    </row>
    <row r="194" spans="2:11" ht="14.25" customHeight="1" x14ac:dyDescent="0.3">
      <c r="B194" s="7"/>
      <c r="C194" s="10"/>
      <c r="D194" s="12"/>
      <c r="E194" s="7"/>
      <c r="F194" s="7"/>
      <c r="G194" s="7"/>
      <c r="H194" s="10"/>
      <c r="I194" s="19"/>
      <c r="J194" s="10"/>
      <c r="K194" s="10"/>
    </row>
    <row r="195" spans="2:11" ht="14.25" customHeight="1" x14ac:dyDescent="0.3">
      <c r="B195" s="7"/>
      <c r="C195" s="10"/>
      <c r="D195" s="12"/>
      <c r="E195" s="7"/>
      <c r="F195" s="7"/>
      <c r="G195" s="7"/>
      <c r="H195" s="10"/>
      <c r="I195" s="19"/>
      <c r="J195" s="10"/>
      <c r="K195" s="10"/>
    </row>
    <row r="196" spans="2:11" ht="14.25" customHeight="1" x14ac:dyDescent="0.3">
      <c r="B196" s="7"/>
      <c r="C196" s="10"/>
      <c r="D196" s="12"/>
      <c r="E196" s="7"/>
      <c r="F196" s="7"/>
      <c r="G196" s="7"/>
      <c r="H196" s="10"/>
      <c r="I196" s="19"/>
      <c r="J196" s="10"/>
      <c r="K196" s="10"/>
    </row>
    <row r="197" spans="2:11" ht="14.25" customHeight="1" x14ac:dyDescent="0.3">
      <c r="B197" s="7"/>
      <c r="C197" s="10"/>
      <c r="D197" s="12"/>
      <c r="E197" s="7"/>
      <c r="F197" s="7"/>
      <c r="G197" s="7"/>
      <c r="H197" s="10"/>
      <c r="I197" s="19"/>
      <c r="J197" s="10"/>
      <c r="K197" s="10"/>
    </row>
    <row r="198" spans="2:11" ht="14.25" customHeight="1" x14ac:dyDescent="0.3">
      <c r="B198" s="7"/>
      <c r="C198" s="10"/>
      <c r="D198" s="12"/>
      <c r="E198" s="7"/>
      <c r="F198" s="7"/>
      <c r="G198" s="7"/>
      <c r="H198" s="10"/>
      <c r="I198" s="19"/>
      <c r="J198" s="10"/>
      <c r="K198" s="10"/>
    </row>
    <row r="199" spans="2:11" ht="14.25" customHeight="1" x14ac:dyDescent="0.3">
      <c r="B199" s="7"/>
      <c r="C199" s="10"/>
      <c r="D199" s="12"/>
      <c r="E199" s="7"/>
      <c r="F199" s="7"/>
      <c r="G199" s="7"/>
      <c r="H199" s="10"/>
      <c r="I199" s="19"/>
      <c r="J199" s="10"/>
      <c r="K199" s="10"/>
    </row>
    <row r="200" spans="2:11" ht="14.25" customHeight="1" x14ac:dyDescent="0.3">
      <c r="B200" s="7"/>
      <c r="C200" s="10"/>
      <c r="D200" s="12"/>
      <c r="E200" s="7"/>
      <c r="F200" s="7"/>
      <c r="G200" s="7"/>
      <c r="H200" s="10"/>
      <c r="I200" s="19"/>
      <c r="J200" s="10"/>
      <c r="K200" s="10"/>
    </row>
    <row r="201" spans="2:11" ht="14.25" customHeight="1" x14ac:dyDescent="0.3">
      <c r="B201" s="7"/>
      <c r="C201" s="10"/>
      <c r="D201" s="12"/>
      <c r="E201" s="7"/>
      <c r="F201" s="7"/>
      <c r="G201" s="7"/>
      <c r="H201" s="10"/>
      <c r="I201" s="19"/>
      <c r="J201" s="10"/>
      <c r="K201" s="10"/>
    </row>
    <row r="202" spans="2:11" ht="14.25" customHeight="1" x14ac:dyDescent="0.3">
      <c r="B202" s="7"/>
      <c r="C202" s="10"/>
      <c r="D202" s="12"/>
      <c r="E202" s="7"/>
      <c r="F202" s="7"/>
      <c r="G202" s="7"/>
      <c r="H202" s="10"/>
      <c r="I202" s="19"/>
      <c r="J202" s="10"/>
      <c r="K202" s="10"/>
    </row>
    <row r="203" spans="2:11" ht="14.25" customHeight="1" x14ac:dyDescent="0.3">
      <c r="B203" s="7"/>
      <c r="C203" s="10"/>
      <c r="D203" s="12"/>
      <c r="E203" s="7"/>
      <c r="F203" s="7"/>
      <c r="G203" s="7"/>
      <c r="H203" s="10"/>
      <c r="I203" s="19"/>
      <c r="J203" s="10"/>
      <c r="K203" s="10"/>
    </row>
    <row r="204" spans="2:11" ht="14.25" customHeight="1" x14ac:dyDescent="0.3">
      <c r="B204" s="7"/>
      <c r="C204" s="10"/>
      <c r="D204" s="12"/>
      <c r="E204" s="7"/>
      <c r="F204" s="7"/>
      <c r="G204" s="7"/>
      <c r="H204" s="10"/>
      <c r="I204" s="19"/>
      <c r="J204" s="10"/>
      <c r="K204" s="10"/>
    </row>
    <row r="205" spans="2:11" ht="14.25" customHeight="1" x14ac:dyDescent="0.3">
      <c r="B205" s="7"/>
      <c r="C205" s="10"/>
      <c r="D205" s="12"/>
      <c r="E205" s="7"/>
      <c r="F205" s="7"/>
      <c r="G205" s="7"/>
      <c r="H205" s="10"/>
      <c r="I205" s="19"/>
      <c r="J205" s="10"/>
      <c r="K205" s="10"/>
    </row>
    <row r="206" spans="2:11" ht="14.25" customHeight="1" x14ac:dyDescent="0.3">
      <c r="B206" s="7"/>
      <c r="C206" s="10"/>
      <c r="D206" s="12"/>
      <c r="E206" s="7"/>
      <c r="F206" s="7"/>
      <c r="G206" s="7"/>
      <c r="H206" s="10"/>
      <c r="I206" s="19"/>
      <c r="J206" s="10"/>
      <c r="K206" s="10"/>
    </row>
    <row r="207" spans="2:11" ht="14.25" customHeight="1" x14ac:dyDescent="0.3">
      <c r="B207" s="7"/>
      <c r="C207" s="10"/>
      <c r="D207" s="12"/>
      <c r="E207" s="7"/>
      <c r="F207" s="7"/>
      <c r="G207" s="7"/>
      <c r="H207" s="10"/>
      <c r="I207" s="19"/>
      <c r="J207" s="10"/>
      <c r="K207" s="10"/>
    </row>
    <row r="208" spans="2:11" ht="14.25" customHeight="1" x14ac:dyDescent="0.3">
      <c r="B208" s="7"/>
      <c r="C208" s="10"/>
      <c r="D208" s="12"/>
      <c r="E208" s="7"/>
      <c r="F208" s="7"/>
      <c r="G208" s="7"/>
      <c r="H208" s="10"/>
      <c r="I208" s="19"/>
      <c r="J208" s="10"/>
      <c r="K208" s="10"/>
    </row>
    <row r="209" spans="2:11" ht="14.25" customHeight="1" x14ac:dyDescent="0.3">
      <c r="B209" s="7"/>
      <c r="C209" s="10"/>
      <c r="D209" s="12"/>
      <c r="E209" s="7"/>
      <c r="F209" s="7"/>
      <c r="G209" s="7"/>
      <c r="H209" s="10"/>
      <c r="I209" s="19"/>
      <c r="J209" s="10"/>
      <c r="K209" s="10"/>
    </row>
    <row r="210" spans="2:11" ht="14.25" customHeight="1" x14ac:dyDescent="0.3">
      <c r="B210" s="7"/>
      <c r="C210" s="10"/>
      <c r="D210" s="12"/>
      <c r="E210" s="7"/>
      <c r="F210" s="7"/>
      <c r="G210" s="7"/>
      <c r="H210" s="10"/>
      <c r="I210" s="19"/>
      <c r="J210" s="10"/>
      <c r="K210" s="10"/>
    </row>
    <row r="211" spans="2:11" ht="14.25" customHeight="1" x14ac:dyDescent="0.3">
      <c r="B211" s="7"/>
      <c r="C211" s="10"/>
      <c r="D211" s="12"/>
      <c r="E211" s="7"/>
      <c r="F211" s="7"/>
      <c r="G211" s="7"/>
      <c r="H211" s="10"/>
      <c r="I211" s="19"/>
      <c r="J211" s="10"/>
      <c r="K211" s="10"/>
    </row>
    <row r="212" spans="2:11" ht="14.25" customHeight="1" x14ac:dyDescent="0.3">
      <c r="B212" s="7"/>
      <c r="C212" s="10"/>
      <c r="D212" s="12"/>
      <c r="E212" s="7"/>
      <c r="F212" s="7"/>
      <c r="G212" s="7"/>
      <c r="H212" s="10"/>
      <c r="I212" s="19"/>
      <c r="J212" s="10"/>
      <c r="K212" s="10"/>
    </row>
    <row r="213" spans="2:11" ht="14.25" customHeight="1" x14ac:dyDescent="0.3">
      <c r="B213" s="7"/>
      <c r="C213" s="10"/>
      <c r="D213" s="12"/>
      <c r="E213" s="7"/>
      <c r="F213" s="7"/>
      <c r="G213" s="7"/>
      <c r="H213" s="10"/>
      <c r="I213" s="19"/>
      <c r="J213" s="10"/>
      <c r="K213" s="10"/>
    </row>
    <row r="214" spans="2:11" ht="14.25" customHeight="1" x14ac:dyDescent="0.3">
      <c r="B214" s="7"/>
      <c r="C214" s="10"/>
      <c r="D214" s="12"/>
      <c r="E214" s="7"/>
      <c r="F214" s="7"/>
      <c r="G214" s="7"/>
      <c r="H214" s="10"/>
      <c r="I214" s="19"/>
      <c r="J214" s="10"/>
      <c r="K214" s="10"/>
    </row>
    <row r="215" spans="2:11" ht="14.25" customHeight="1" x14ac:dyDescent="0.3">
      <c r="B215" s="7"/>
      <c r="C215" s="10"/>
      <c r="D215" s="12"/>
      <c r="E215" s="7"/>
      <c r="F215" s="7"/>
      <c r="G215" s="7"/>
      <c r="H215" s="10"/>
      <c r="I215" s="19"/>
      <c r="J215" s="10"/>
      <c r="K215" s="10"/>
    </row>
    <row r="216" spans="2:11" ht="14.25" customHeight="1" x14ac:dyDescent="0.3">
      <c r="B216" s="7"/>
      <c r="C216" s="10"/>
      <c r="D216" s="12"/>
      <c r="E216" s="7"/>
      <c r="F216" s="7"/>
      <c r="G216" s="7"/>
      <c r="H216" s="10"/>
      <c r="I216" s="19"/>
      <c r="J216" s="10"/>
      <c r="K216" s="10"/>
    </row>
    <row r="217" spans="2:11" ht="14.25" customHeight="1" x14ac:dyDescent="0.3">
      <c r="B217" s="7"/>
      <c r="C217" s="10"/>
      <c r="D217" s="12"/>
      <c r="E217" s="7"/>
      <c r="F217" s="7"/>
      <c r="G217" s="7"/>
      <c r="H217" s="10"/>
      <c r="I217" s="19"/>
      <c r="J217" s="10"/>
      <c r="K217" s="10"/>
    </row>
    <row r="218" spans="2:11" ht="14.25" customHeight="1" x14ac:dyDescent="0.3">
      <c r="B218" s="7"/>
      <c r="C218" s="10"/>
      <c r="D218" s="12"/>
      <c r="E218" s="7"/>
      <c r="F218" s="7"/>
      <c r="G218" s="7"/>
      <c r="H218" s="10"/>
      <c r="I218" s="19"/>
      <c r="J218" s="10"/>
      <c r="K218" s="10"/>
    </row>
    <row r="219" spans="2:11" ht="14.25" customHeight="1" x14ac:dyDescent="0.3">
      <c r="B219" s="7"/>
      <c r="C219" s="10"/>
      <c r="D219" s="12"/>
      <c r="E219" s="7"/>
      <c r="F219" s="7"/>
      <c r="G219" s="7"/>
      <c r="H219" s="10"/>
      <c r="I219" s="19"/>
      <c r="J219" s="10"/>
      <c r="K219" s="10"/>
    </row>
    <row r="220" spans="2:11" ht="14.25" customHeight="1" x14ac:dyDescent="0.3">
      <c r="B220" s="7"/>
      <c r="C220" s="10"/>
      <c r="D220" s="12"/>
      <c r="E220" s="7"/>
      <c r="F220" s="7"/>
      <c r="G220" s="7"/>
      <c r="H220" s="10"/>
      <c r="I220" s="19"/>
      <c r="J220" s="10"/>
      <c r="K220" s="10"/>
    </row>
    <row r="221" spans="2:11" ht="14.25" customHeight="1" x14ac:dyDescent="0.3">
      <c r="B221" s="7"/>
      <c r="C221" s="10"/>
      <c r="D221" s="12"/>
      <c r="E221" s="7"/>
      <c r="F221" s="7"/>
      <c r="G221" s="7"/>
      <c r="H221" s="10"/>
      <c r="I221" s="19"/>
      <c r="J221" s="10"/>
      <c r="K221" s="10"/>
    </row>
    <row r="222" spans="2:11" ht="14.25" customHeight="1" x14ac:dyDescent="0.3">
      <c r="B222" s="7"/>
      <c r="C222" s="10"/>
      <c r="D222" s="12"/>
      <c r="E222" s="7"/>
      <c r="F222" s="7"/>
      <c r="G222" s="7"/>
      <c r="H222" s="10"/>
      <c r="I222" s="19"/>
      <c r="J222" s="10"/>
      <c r="K222" s="10"/>
    </row>
    <row r="223" spans="2:11" ht="14.25" customHeight="1" x14ac:dyDescent="0.3">
      <c r="B223" s="7"/>
      <c r="C223" s="10"/>
      <c r="D223" s="12"/>
      <c r="E223" s="7"/>
      <c r="F223" s="7"/>
      <c r="G223" s="7"/>
      <c r="H223" s="10"/>
      <c r="I223" s="19"/>
      <c r="J223" s="10"/>
      <c r="K223" s="10"/>
    </row>
    <row r="224" spans="2:11" ht="14.25" customHeight="1" x14ac:dyDescent="0.3">
      <c r="B224" s="7"/>
      <c r="C224" s="10"/>
      <c r="D224" s="12"/>
      <c r="E224" s="7"/>
      <c r="F224" s="7"/>
      <c r="G224" s="7"/>
      <c r="H224" s="10"/>
      <c r="I224" s="19"/>
      <c r="J224" s="10"/>
      <c r="K224" s="10"/>
    </row>
    <row r="225" spans="2:11" ht="14.25" customHeight="1" x14ac:dyDescent="0.3">
      <c r="B225" s="7"/>
      <c r="C225" s="10"/>
      <c r="D225" s="12"/>
      <c r="E225" s="7"/>
      <c r="F225" s="7"/>
      <c r="G225" s="7"/>
      <c r="H225" s="10"/>
      <c r="I225" s="19"/>
      <c r="J225" s="10"/>
      <c r="K225" s="10"/>
    </row>
    <row r="226" spans="2:11" ht="14.25" customHeight="1" x14ac:dyDescent="0.3">
      <c r="B226" s="7"/>
      <c r="C226" s="10"/>
      <c r="D226" s="12"/>
      <c r="E226" s="7"/>
      <c r="F226" s="7"/>
      <c r="G226" s="7"/>
      <c r="H226" s="10"/>
      <c r="I226" s="19"/>
      <c r="J226" s="10"/>
      <c r="K226" s="10"/>
    </row>
    <row r="227" spans="2:11" ht="14.25" customHeight="1" x14ac:dyDescent="0.3">
      <c r="B227" s="7"/>
      <c r="C227" s="10"/>
      <c r="D227" s="12"/>
      <c r="E227" s="7"/>
      <c r="F227" s="7"/>
      <c r="G227" s="7"/>
      <c r="H227" s="10"/>
      <c r="I227" s="19"/>
      <c r="J227" s="10"/>
      <c r="K227" s="10"/>
    </row>
    <row r="228" spans="2:11" ht="14.25" customHeight="1" x14ac:dyDescent="0.3">
      <c r="B228" s="7"/>
      <c r="C228" s="10"/>
      <c r="D228" s="12"/>
      <c r="E228" s="7"/>
      <c r="F228" s="7"/>
      <c r="G228" s="7"/>
      <c r="H228" s="10"/>
      <c r="I228" s="19"/>
      <c r="J228" s="10"/>
      <c r="K228" s="10"/>
    </row>
    <row r="229" spans="2:11" ht="14.25" customHeight="1" x14ac:dyDescent="0.3">
      <c r="B229" s="7"/>
      <c r="C229" s="10"/>
      <c r="D229" s="12"/>
      <c r="E229" s="7"/>
      <c r="F229" s="7"/>
      <c r="G229" s="7"/>
      <c r="H229" s="10"/>
      <c r="I229" s="19"/>
      <c r="J229" s="10"/>
      <c r="K229" s="10"/>
    </row>
    <row r="230" spans="2:11" ht="14.25" customHeight="1" x14ac:dyDescent="0.3">
      <c r="B230" s="7"/>
      <c r="C230" s="10"/>
      <c r="D230" s="12"/>
      <c r="E230" s="7"/>
      <c r="F230" s="7"/>
      <c r="G230" s="7"/>
      <c r="H230" s="10"/>
      <c r="I230" s="19"/>
      <c r="J230" s="10"/>
      <c r="K230" s="10"/>
    </row>
    <row r="231" spans="2:11" ht="14.25" customHeight="1" x14ac:dyDescent="0.3">
      <c r="B231" s="7"/>
      <c r="C231" s="10"/>
      <c r="D231" s="12"/>
      <c r="E231" s="7"/>
      <c r="F231" s="7"/>
      <c r="G231" s="7"/>
      <c r="H231" s="10"/>
      <c r="I231" s="19"/>
      <c r="J231" s="10"/>
      <c r="K231" s="10"/>
    </row>
    <row r="232" spans="2:11" ht="14.25" customHeight="1" x14ac:dyDescent="0.3">
      <c r="B232" s="7"/>
      <c r="C232" s="10"/>
      <c r="D232" s="12"/>
      <c r="E232" s="7"/>
      <c r="F232" s="7"/>
      <c r="G232" s="7"/>
      <c r="H232" s="10"/>
      <c r="I232" s="19"/>
      <c r="J232" s="10"/>
      <c r="K232" s="10"/>
    </row>
    <row r="233" spans="2:11" ht="14.25" customHeight="1" x14ac:dyDescent="0.3">
      <c r="B233" s="7"/>
      <c r="C233" s="10"/>
      <c r="D233" s="12"/>
      <c r="E233" s="7"/>
      <c r="F233" s="7"/>
      <c r="G233" s="7"/>
      <c r="H233" s="10"/>
      <c r="I233" s="19"/>
      <c r="J233" s="10"/>
      <c r="K233" s="10"/>
    </row>
    <row r="234" spans="2:11" ht="14.25" customHeight="1" x14ac:dyDescent="0.3">
      <c r="B234" s="7"/>
      <c r="C234" s="10"/>
      <c r="D234" s="12"/>
      <c r="E234" s="7"/>
      <c r="F234" s="7"/>
      <c r="G234" s="7"/>
      <c r="H234" s="10"/>
      <c r="I234" s="19"/>
      <c r="J234" s="10"/>
      <c r="K234" s="10"/>
    </row>
    <row r="235" spans="2:11" ht="14.25" customHeight="1" x14ac:dyDescent="0.3">
      <c r="B235" s="7"/>
      <c r="C235" s="10"/>
      <c r="D235" s="12"/>
      <c r="E235" s="7"/>
      <c r="F235" s="7"/>
      <c r="G235" s="7"/>
      <c r="H235" s="10"/>
      <c r="I235" s="19"/>
      <c r="J235" s="10"/>
      <c r="K235" s="10"/>
    </row>
    <row r="236" spans="2:11" ht="14.25" customHeight="1" x14ac:dyDescent="0.3">
      <c r="B236" s="7"/>
      <c r="C236" s="10"/>
      <c r="D236" s="12"/>
      <c r="E236" s="7"/>
      <c r="F236" s="7"/>
      <c r="G236" s="7"/>
      <c r="H236" s="10"/>
      <c r="I236" s="19"/>
      <c r="J236" s="10"/>
      <c r="K236" s="10"/>
    </row>
    <row r="237" spans="2:11" ht="14.25" customHeight="1" x14ac:dyDescent="0.3">
      <c r="B237" s="7"/>
      <c r="C237" s="10"/>
      <c r="D237" s="12"/>
      <c r="E237" s="7"/>
      <c r="F237" s="7"/>
      <c r="G237" s="7"/>
      <c r="H237" s="10"/>
      <c r="I237" s="19"/>
      <c r="J237" s="10"/>
      <c r="K237" s="10"/>
    </row>
    <row r="238" spans="2:11" ht="14.25" customHeight="1" x14ac:dyDescent="0.3">
      <c r="B238" s="7"/>
      <c r="C238" s="10"/>
      <c r="D238" s="12"/>
      <c r="E238" s="7"/>
      <c r="F238" s="7"/>
      <c r="G238" s="7"/>
      <c r="H238" s="10"/>
      <c r="I238" s="19"/>
      <c r="J238" s="10"/>
      <c r="K238" s="10"/>
    </row>
    <row r="239" spans="2:11" ht="14.25" customHeight="1" x14ac:dyDescent="0.3">
      <c r="B239" s="7"/>
      <c r="C239" s="10"/>
      <c r="D239" s="12"/>
      <c r="E239" s="7"/>
      <c r="F239" s="7"/>
      <c r="G239" s="7"/>
      <c r="H239" s="10"/>
      <c r="I239" s="19"/>
      <c r="J239" s="10"/>
      <c r="K239" s="10"/>
    </row>
    <row r="240" spans="2:11" ht="14.25" customHeight="1" x14ac:dyDescent="0.3">
      <c r="B240" s="7"/>
      <c r="C240" s="10"/>
      <c r="D240" s="12"/>
      <c r="E240" s="7"/>
      <c r="F240" s="7"/>
      <c r="G240" s="7"/>
      <c r="H240" s="10"/>
      <c r="I240" s="19"/>
      <c r="J240" s="10"/>
      <c r="K240" s="10"/>
    </row>
    <row r="241" spans="2:11" ht="14.25" customHeight="1" x14ac:dyDescent="0.3">
      <c r="B241" s="7"/>
      <c r="C241" s="10"/>
      <c r="D241" s="12"/>
      <c r="E241" s="7"/>
      <c r="F241" s="7"/>
      <c r="G241" s="7"/>
      <c r="H241" s="10"/>
      <c r="I241" s="19"/>
      <c r="J241" s="10"/>
      <c r="K241" s="10"/>
    </row>
    <row r="242" spans="2:11" ht="14.25" customHeight="1" x14ac:dyDescent="0.3">
      <c r="B242" s="7"/>
      <c r="C242" s="10"/>
      <c r="D242" s="12"/>
      <c r="E242" s="7"/>
      <c r="F242" s="7"/>
      <c r="G242" s="7"/>
      <c r="H242" s="10"/>
      <c r="I242" s="19"/>
      <c r="J242" s="10"/>
      <c r="K242" s="10"/>
    </row>
    <row r="243" spans="2:11" ht="14.25" customHeight="1" x14ac:dyDescent="0.3">
      <c r="B243" s="7"/>
      <c r="C243" s="10"/>
      <c r="D243" s="12"/>
      <c r="E243" s="7"/>
      <c r="F243" s="7"/>
      <c r="G243" s="7"/>
      <c r="H243" s="10"/>
      <c r="I243" s="19"/>
      <c r="J243" s="10"/>
      <c r="K243" s="10"/>
    </row>
    <row r="244" spans="2:11" ht="14.25" customHeight="1" x14ac:dyDescent="0.3">
      <c r="B244" s="7"/>
      <c r="C244" s="10"/>
      <c r="D244" s="12"/>
      <c r="E244" s="7"/>
      <c r="F244" s="7"/>
      <c r="G244" s="7"/>
      <c r="H244" s="10"/>
      <c r="I244" s="19"/>
      <c r="J244" s="10"/>
      <c r="K244" s="10"/>
    </row>
    <row r="245" spans="2:11" ht="14.25" customHeight="1" x14ac:dyDescent="0.3">
      <c r="B245" s="7"/>
      <c r="C245" s="10"/>
      <c r="D245" s="12"/>
      <c r="E245" s="7"/>
      <c r="F245" s="7"/>
      <c r="G245" s="7"/>
      <c r="H245" s="10"/>
      <c r="I245" s="19"/>
      <c r="J245" s="10"/>
      <c r="K245" s="10"/>
    </row>
    <row r="246" spans="2:11" ht="14.25" customHeight="1" x14ac:dyDescent="0.3">
      <c r="B246" s="7"/>
      <c r="C246" s="10"/>
      <c r="D246" s="12"/>
      <c r="E246" s="7"/>
      <c r="F246" s="7"/>
      <c r="G246" s="7"/>
      <c r="H246" s="10"/>
      <c r="I246" s="19"/>
      <c r="J246" s="10"/>
      <c r="K246" s="10"/>
    </row>
    <row r="247" spans="2:11" ht="14.25" customHeight="1" x14ac:dyDescent="0.3">
      <c r="B247" s="7"/>
      <c r="C247" s="10"/>
      <c r="D247" s="12"/>
      <c r="E247" s="7"/>
      <c r="F247" s="7"/>
      <c r="G247" s="7"/>
      <c r="H247" s="10"/>
      <c r="I247" s="19"/>
      <c r="J247" s="10"/>
      <c r="K247" s="10"/>
    </row>
    <row r="248" spans="2:11" ht="14.25" customHeight="1" x14ac:dyDescent="0.3">
      <c r="B248" s="7"/>
      <c r="C248" s="10"/>
      <c r="D248" s="12"/>
      <c r="E248" s="7"/>
      <c r="F248" s="7"/>
      <c r="G248" s="7"/>
      <c r="H248" s="10"/>
      <c r="I248" s="19"/>
      <c r="J248" s="10"/>
      <c r="K248" s="10"/>
    </row>
    <row r="249" spans="2:11" ht="14.25" customHeight="1" x14ac:dyDescent="0.3">
      <c r="B249" s="7"/>
      <c r="C249" s="10"/>
      <c r="D249" s="12"/>
      <c r="E249" s="7"/>
      <c r="F249" s="7"/>
      <c r="G249" s="7"/>
      <c r="H249" s="10"/>
      <c r="I249" s="19"/>
      <c r="J249" s="10"/>
      <c r="K249" s="10"/>
    </row>
    <row r="250" spans="2:11" ht="14.25" customHeight="1" x14ac:dyDescent="0.3">
      <c r="B250" s="7"/>
      <c r="C250" s="10"/>
      <c r="D250" s="12"/>
      <c r="E250" s="7"/>
      <c r="F250" s="7"/>
      <c r="G250" s="7"/>
      <c r="H250" s="10"/>
      <c r="I250" s="19"/>
      <c r="J250" s="10"/>
      <c r="K250" s="10"/>
    </row>
    <row r="251" spans="2:11" ht="14.25" customHeight="1" x14ac:dyDescent="0.3">
      <c r="B251" s="7"/>
      <c r="C251" s="10"/>
      <c r="D251" s="12"/>
      <c r="E251" s="7"/>
      <c r="F251" s="7"/>
      <c r="G251" s="7"/>
      <c r="H251" s="10"/>
      <c r="I251" s="19"/>
      <c r="J251" s="10"/>
      <c r="K251" s="10"/>
    </row>
    <row r="252" spans="2:11" ht="14.25" customHeight="1" x14ac:dyDescent="0.3">
      <c r="B252" s="7"/>
      <c r="C252" s="10"/>
      <c r="D252" s="12"/>
      <c r="E252" s="7"/>
      <c r="F252" s="7"/>
      <c r="G252" s="7"/>
      <c r="H252" s="10"/>
      <c r="I252" s="19"/>
      <c r="J252" s="10"/>
      <c r="K252" s="10"/>
    </row>
    <row r="253" spans="2:11" ht="14.25" customHeight="1" x14ac:dyDescent="0.3">
      <c r="B253" s="7"/>
      <c r="C253" s="10"/>
      <c r="D253" s="12"/>
      <c r="E253" s="7"/>
      <c r="F253" s="7"/>
      <c r="G253" s="7"/>
      <c r="H253" s="10"/>
      <c r="I253" s="19"/>
      <c r="J253" s="10"/>
      <c r="K253" s="10"/>
    </row>
    <row r="254" spans="2:11" ht="14.25" customHeight="1" x14ac:dyDescent="0.3">
      <c r="B254" s="7"/>
      <c r="C254" s="10"/>
      <c r="D254" s="12"/>
      <c r="E254" s="7"/>
      <c r="F254" s="7"/>
      <c r="G254" s="7"/>
      <c r="H254" s="10"/>
      <c r="I254" s="19"/>
      <c r="J254" s="10"/>
      <c r="K254" s="10"/>
    </row>
    <row r="255" spans="2:11" ht="14.25" customHeight="1" x14ac:dyDescent="0.3">
      <c r="B255" s="7"/>
      <c r="C255" s="10"/>
      <c r="D255" s="12"/>
      <c r="E255" s="7"/>
      <c r="F255" s="7"/>
      <c r="G255" s="7"/>
      <c r="H255" s="10"/>
      <c r="I255" s="19"/>
      <c r="J255" s="10"/>
      <c r="K255" s="10"/>
    </row>
    <row r="256" spans="2:11" ht="14.25" customHeight="1" x14ac:dyDescent="0.3">
      <c r="B256" s="7"/>
      <c r="C256" s="10"/>
      <c r="D256" s="12"/>
      <c r="E256" s="7"/>
      <c r="F256" s="7"/>
      <c r="G256" s="7"/>
      <c r="H256" s="10"/>
      <c r="I256" s="19"/>
      <c r="J256" s="10"/>
      <c r="K256" s="10"/>
    </row>
    <row r="257" spans="2:11" ht="14.25" customHeight="1" x14ac:dyDescent="0.3">
      <c r="B257" s="7"/>
      <c r="C257" s="10"/>
      <c r="D257" s="12"/>
      <c r="E257" s="7"/>
      <c r="F257" s="7"/>
      <c r="G257" s="7"/>
      <c r="H257" s="10"/>
      <c r="I257" s="19"/>
      <c r="J257" s="10"/>
      <c r="K257" s="10"/>
    </row>
    <row r="258" spans="2:11" ht="14.25" customHeight="1" x14ac:dyDescent="0.3">
      <c r="B258" s="7"/>
      <c r="C258" s="10"/>
      <c r="D258" s="12"/>
      <c r="E258" s="7"/>
      <c r="F258" s="7"/>
      <c r="G258" s="7"/>
      <c r="H258" s="10"/>
      <c r="I258" s="19"/>
      <c r="J258" s="10"/>
      <c r="K258" s="10"/>
    </row>
    <row r="259" spans="2:11" ht="14.25" customHeight="1" x14ac:dyDescent="0.3">
      <c r="B259" s="7"/>
      <c r="C259" s="10"/>
      <c r="D259" s="12"/>
      <c r="E259" s="7"/>
      <c r="F259" s="7"/>
      <c r="G259" s="7"/>
      <c r="H259" s="10"/>
      <c r="I259" s="19"/>
      <c r="J259" s="10"/>
      <c r="K259" s="10"/>
    </row>
    <row r="260" spans="2:11" ht="14.25" customHeight="1" x14ac:dyDescent="0.3">
      <c r="B260" s="7"/>
      <c r="C260" s="10"/>
      <c r="D260" s="12"/>
      <c r="E260" s="7"/>
      <c r="F260" s="7"/>
      <c r="G260" s="7"/>
      <c r="H260" s="10"/>
      <c r="I260" s="19"/>
      <c r="J260" s="10"/>
      <c r="K260" s="10"/>
    </row>
    <row r="261" spans="2:11" ht="14.25" customHeight="1" x14ac:dyDescent="0.3">
      <c r="B261" s="7"/>
      <c r="C261" s="10"/>
      <c r="D261" s="12"/>
      <c r="E261" s="7"/>
      <c r="F261" s="7"/>
      <c r="G261" s="7"/>
      <c r="H261" s="10"/>
      <c r="I261" s="19"/>
      <c r="J261" s="10"/>
      <c r="K261" s="10"/>
    </row>
    <row r="262" spans="2:11" ht="14.25" customHeight="1" x14ac:dyDescent="0.3">
      <c r="B262" s="7"/>
      <c r="C262" s="10"/>
      <c r="D262" s="12"/>
      <c r="E262" s="7"/>
      <c r="F262" s="7"/>
      <c r="G262" s="7"/>
      <c r="H262" s="10"/>
      <c r="I262" s="19"/>
      <c r="J262" s="10"/>
      <c r="K262" s="10"/>
    </row>
    <row r="263" spans="2:11" ht="14.25" customHeight="1" x14ac:dyDescent="0.3">
      <c r="B263" s="7"/>
      <c r="C263" s="10"/>
      <c r="D263" s="12"/>
      <c r="E263" s="7"/>
      <c r="F263" s="7"/>
      <c r="G263" s="7"/>
      <c r="H263" s="10"/>
      <c r="I263" s="19"/>
      <c r="J263" s="10"/>
      <c r="K263" s="10"/>
    </row>
    <row r="264" spans="2:11" ht="14.25" customHeight="1" x14ac:dyDescent="0.3">
      <c r="B264" s="7"/>
      <c r="C264" s="10"/>
      <c r="D264" s="12"/>
      <c r="E264" s="7"/>
      <c r="F264" s="7"/>
      <c r="G264" s="7"/>
      <c r="H264" s="10"/>
      <c r="I264" s="19"/>
      <c r="J264" s="10"/>
      <c r="K264" s="10"/>
    </row>
    <row r="265" spans="2:11" ht="14.25" customHeight="1" x14ac:dyDescent="0.3">
      <c r="B265" s="7"/>
      <c r="C265" s="10"/>
      <c r="D265" s="12"/>
      <c r="E265" s="7"/>
      <c r="F265" s="7"/>
      <c r="G265" s="7"/>
      <c r="H265" s="10"/>
      <c r="I265" s="19"/>
      <c r="J265" s="10"/>
      <c r="K265" s="10"/>
    </row>
    <row r="266" spans="2:11" ht="14.25" customHeight="1" x14ac:dyDescent="0.3">
      <c r="B266" s="7"/>
      <c r="C266" s="10"/>
      <c r="D266" s="12"/>
      <c r="E266" s="7"/>
      <c r="F266" s="7"/>
      <c r="G266" s="7"/>
      <c r="H266" s="10"/>
      <c r="I266" s="19"/>
      <c r="J266" s="10"/>
      <c r="K266" s="10"/>
    </row>
    <row r="267" spans="2:11" ht="14.25" customHeight="1" x14ac:dyDescent="0.3">
      <c r="B267" s="7"/>
      <c r="C267" s="10"/>
      <c r="D267" s="12"/>
      <c r="E267" s="7"/>
      <c r="F267" s="7"/>
      <c r="G267" s="7"/>
      <c r="H267" s="10"/>
      <c r="I267" s="19"/>
      <c r="J267" s="10"/>
      <c r="K267" s="10"/>
    </row>
    <row r="268" spans="2:11" ht="14.25" customHeight="1" x14ac:dyDescent="0.3">
      <c r="B268" s="7"/>
      <c r="C268" s="10"/>
      <c r="D268" s="12"/>
      <c r="E268" s="7"/>
      <c r="F268" s="7"/>
      <c r="G268" s="7"/>
      <c r="H268" s="10"/>
      <c r="I268" s="19"/>
      <c r="J268" s="10"/>
      <c r="K268" s="10"/>
    </row>
    <row r="269" spans="2:11" ht="14.25" customHeight="1" x14ac:dyDescent="0.3">
      <c r="B269" s="7"/>
      <c r="C269" s="10"/>
      <c r="D269" s="12"/>
      <c r="E269" s="7"/>
      <c r="F269" s="7"/>
      <c r="G269" s="7"/>
      <c r="H269" s="10"/>
      <c r="I269" s="19"/>
      <c r="J269" s="10"/>
      <c r="K269" s="10"/>
    </row>
    <row r="270" spans="2:11" ht="14.25" customHeight="1" x14ac:dyDescent="0.3">
      <c r="B270" s="7"/>
      <c r="C270" s="10"/>
      <c r="D270" s="12"/>
      <c r="E270" s="7"/>
      <c r="F270" s="7"/>
      <c r="G270" s="7"/>
      <c r="H270" s="10"/>
      <c r="I270" s="19"/>
      <c r="J270" s="10"/>
      <c r="K270" s="10"/>
    </row>
    <row r="271" spans="2:11" ht="14.25" customHeight="1" x14ac:dyDescent="0.3">
      <c r="B271" s="7"/>
      <c r="C271" s="10"/>
      <c r="D271" s="12"/>
      <c r="E271" s="7"/>
      <c r="F271" s="7"/>
      <c r="G271" s="7"/>
      <c r="H271" s="10"/>
      <c r="I271" s="19"/>
      <c r="J271" s="10"/>
      <c r="K271" s="10"/>
    </row>
    <row r="272" spans="2:11" ht="14.25" customHeight="1" x14ac:dyDescent="0.3">
      <c r="B272" s="7"/>
      <c r="C272" s="10"/>
      <c r="D272" s="12"/>
      <c r="E272" s="7"/>
      <c r="F272" s="7"/>
      <c r="G272" s="7"/>
      <c r="H272" s="10"/>
      <c r="I272" s="19"/>
      <c r="J272" s="10"/>
      <c r="K272" s="10"/>
    </row>
    <row r="273" spans="2:11" ht="14.25" customHeight="1" x14ac:dyDescent="0.3">
      <c r="B273" s="7"/>
      <c r="C273" s="10"/>
      <c r="D273" s="12"/>
      <c r="E273" s="7"/>
      <c r="F273" s="7"/>
      <c r="G273" s="7"/>
      <c r="H273" s="10"/>
      <c r="I273" s="19"/>
      <c r="J273" s="10"/>
      <c r="K273" s="10"/>
    </row>
    <row r="274" spans="2:11" ht="14.25" customHeight="1" x14ac:dyDescent="0.3">
      <c r="B274" s="7"/>
      <c r="C274" s="10"/>
      <c r="D274" s="12"/>
      <c r="E274" s="7"/>
      <c r="F274" s="7"/>
      <c r="G274" s="7"/>
      <c r="H274" s="10"/>
      <c r="I274" s="19"/>
      <c r="J274" s="10"/>
      <c r="K274" s="10"/>
    </row>
    <row r="275" spans="2:11" ht="14.25" customHeight="1" x14ac:dyDescent="0.3">
      <c r="B275" s="7"/>
      <c r="C275" s="10"/>
      <c r="D275" s="12"/>
      <c r="E275" s="7"/>
      <c r="F275" s="7"/>
      <c r="G275" s="7"/>
      <c r="H275" s="10"/>
      <c r="I275" s="19"/>
      <c r="J275" s="10"/>
      <c r="K275" s="10"/>
    </row>
    <row r="276" spans="2:11" ht="14.25" customHeight="1" x14ac:dyDescent="0.3">
      <c r="B276" s="7"/>
      <c r="C276" s="10"/>
      <c r="D276" s="12"/>
      <c r="E276" s="7"/>
      <c r="F276" s="7"/>
      <c r="G276" s="7"/>
      <c r="H276" s="10"/>
      <c r="I276" s="19"/>
      <c r="J276" s="10"/>
      <c r="K276" s="10"/>
    </row>
    <row r="277" spans="2:11" ht="14.25" customHeight="1" x14ac:dyDescent="0.3">
      <c r="B277" s="7"/>
      <c r="C277" s="10"/>
      <c r="D277" s="12"/>
      <c r="E277" s="7"/>
      <c r="F277" s="7"/>
      <c r="G277" s="7"/>
      <c r="H277" s="10"/>
      <c r="I277" s="19"/>
      <c r="J277" s="10"/>
      <c r="K277" s="10"/>
    </row>
    <row r="278" spans="2:11" ht="14.25" customHeight="1" x14ac:dyDescent="0.3">
      <c r="B278" s="7"/>
      <c r="C278" s="10"/>
      <c r="D278" s="12"/>
      <c r="E278" s="7"/>
      <c r="F278" s="7"/>
      <c r="G278" s="7"/>
      <c r="H278" s="10"/>
      <c r="I278" s="19"/>
      <c r="J278" s="10"/>
      <c r="K278" s="10"/>
    </row>
    <row r="279" spans="2:11" ht="14.25" customHeight="1" x14ac:dyDescent="0.3">
      <c r="B279" s="7"/>
      <c r="C279" s="10"/>
      <c r="D279" s="12"/>
      <c r="E279" s="7"/>
      <c r="F279" s="7"/>
      <c r="G279" s="7"/>
      <c r="H279" s="10"/>
      <c r="I279" s="19"/>
      <c r="J279" s="10"/>
      <c r="K279" s="10"/>
    </row>
    <row r="280" spans="2:11" ht="14.25" customHeight="1" x14ac:dyDescent="0.3">
      <c r="B280" s="7"/>
      <c r="C280" s="10"/>
      <c r="D280" s="12"/>
      <c r="E280" s="7"/>
      <c r="F280" s="7"/>
      <c r="G280" s="7"/>
      <c r="H280" s="10"/>
      <c r="I280" s="19"/>
      <c r="J280" s="10"/>
      <c r="K280" s="10"/>
    </row>
    <row r="281" spans="2:11" ht="14.25" customHeight="1" x14ac:dyDescent="0.3">
      <c r="B281" s="7"/>
      <c r="C281" s="10"/>
      <c r="D281" s="12"/>
      <c r="E281" s="7"/>
      <c r="F281" s="7"/>
      <c r="G281" s="7"/>
      <c r="H281" s="10"/>
      <c r="I281" s="19"/>
      <c r="J281" s="10"/>
      <c r="K281" s="10"/>
    </row>
    <row r="282" spans="2:11" ht="14.25" customHeight="1" x14ac:dyDescent="0.3">
      <c r="B282" s="7"/>
      <c r="C282" s="10"/>
      <c r="D282" s="12"/>
      <c r="E282" s="7"/>
      <c r="F282" s="7"/>
      <c r="G282" s="7"/>
      <c r="H282" s="10"/>
      <c r="I282" s="19"/>
      <c r="J282" s="10"/>
      <c r="K282" s="10"/>
    </row>
    <row r="283" spans="2:11" ht="14.25" customHeight="1" x14ac:dyDescent="0.3">
      <c r="B283" s="7"/>
      <c r="C283" s="10"/>
      <c r="D283" s="12"/>
      <c r="E283" s="7"/>
      <c r="F283" s="7"/>
      <c r="G283" s="7"/>
      <c r="H283" s="10"/>
      <c r="I283" s="19"/>
      <c r="J283" s="10"/>
      <c r="K283" s="10"/>
    </row>
    <row r="284" spans="2:11" ht="14.25" customHeight="1" x14ac:dyDescent="0.3">
      <c r="B284" s="7"/>
      <c r="C284" s="10"/>
      <c r="D284" s="12"/>
      <c r="E284" s="7"/>
      <c r="F284" s="7"/>
      <c r="G284" s="7"/>
      <c r="H284" s="10"/>
      <c r="I284" s="19"/>
      <c r="J284" s="10"/>
      <c r="K284" s="10"/>
    </row>
    <row r="285" spans="2:11" ht="14.25" customHeight="1" x14ac:dyDescent="0.3">
      <c r="B285" s="7"/>
      <c r="C285" s="10"/>
      <c r="D285" s="12"/>
      <c r="E285" s="7"/>
      <c r="F285" s="7"/>
      <c r="G285" s="7"/>
      <c r="H285" s="10"/>
      <c r="I285" s="19"/>
      <c r="J285" s="10"/>
      <c r="K285" s="10"/>
    </row>
    <row r="286" spans="2:11" ht="14.25" customHeight="1" x14ac:dyDescent="0.3">
      <c r="B286" s="7"/>
      <c r="C286" s="10"/>
      <c r="D286" s="12"/>
      <c r="E286" s="7"/>
      <c r="F286" s="7"/>
      <c r="G286" s="7"/>
      <c r="H286" s="10"/>
      <c r="I286" s="19"/>
      <c r="J286" s="10"/>
      <c r="K286" s="10"/>
    </row>
    <row r="287" spans="2:11" ht="14.25" customHeight="1" x14ac:dyDescent="0.3">
      <c r="B287" s="7"/>
      <c r="C287" s="10"/>
      <c r="D287" s="12"/>
      <c r="E287" s="7"/>
      <c r="F287" s="7"/>
      <c r="G287" s="7"/>
      <c r="H287" s="10"/>
      <c r="I287" s="19"/>
      <c r="J287" s="10"/>
      <c r="K287" s="10"/>
    </row>
    <row r="288" spans="2:11" ht="14.25" customHeight="1" x14ac:dyDescent="0.3">
      <c r="B288" s="7"/>
      <c r="C288" s="10"/>
      <c r="D288" s="12"/>
      <c r="E288" s="7"/>
      <c r="F288" s="7"/>
      <c r="G288" s="7"/>
      <c r="H288" s="10"/>
      <c r="I288" s="19"/>
      <c r="J288" s="10"/>
      <c r="K288" s="10"/>
    </row>
    <row r="289" spans="2:11" ht="14.25" customHeight="1" x14ac:dyDescent="0.3">
      <c r="B289" s="7"/>
      <c r="C289" s="10"/>
      <c r="D289" s="12"/>
      <c r="E289" s="7"/>
      <c r="F289" s="7"/>
      <c r="G289" s="7"/>
      <c r="H289" s="10"/>
      <c r="I289" s="19"/>
      <c r="J289" s="10"/>
      <c r="K289" s="10"/>
    </row>
    <row r="290" spans="2:11" ht="14.25" customHeight="1" x14ac:dyDescent="0.3">
      <c r="B290" s="7"/>
      <c r="C290" s="10"/>
      <c r="D290" s="12"/>
      <c r="E290" s="7"/>
      <c r="F290" s="7"/>
      <c r="G290" s="7"/>
      <c r="H290" s="10"/>
      <c r="I290" s="19"/>
      <c r="J290" s="10"/>
      <c r="K290" s="10"/>
    </row>
    <row r="291" spans="2:11" ht="14.25" customHeight="1" x14ac:dyDescent="0.3">
      <c r="B291" s="7"/>
      <c r="C291" s="10"/>
      <c r="D291" s="12"/>
      <c r="E291" s="7"/>
      <c r="F291" s="7"/>
      <c r="G291" s="7"/>
      <c r="H291" s="10"/>
      <c r="I291" s="19"/>
      <c r="J291" s="10"/>
      <c r="K291" s="10"/>
    </row>
    <row r="292" spans="2:11" ht="14.25" customHeight="1" x14ac:dyDescent="0.3">
      <c r="B292" s="7"/>
      <c r="C292" s="10"/>
      <c r="D292" s="12"/>
      <c r="E292" s="7"/>
      <c r="F292" s="7"/>
      <c r="G292" s="7"/>
      <c r="H292" s="10"/>
      <c r="I292" s="19"/>
      <c r="J292" s="10"/>
      <c r="K292" s="10"/>
    </row>
    <row r="293" spans="2:11" ht="14.25" customHeight="1" x14ac:dyDescent="0.3">
      <c r="B293" s="7"/>
      <c r="C293" s="10"/>
      <c r="D293" s="12"/>
      <c r="E293" s="7"/>
      <c r="F293" s="7"/>
      <c r="G293" s="7"/>
      <c r="H293" s="10"/>
      <c r="I293" s="19"/>
      <c r="J293" s="10"/>
      <c r="K293" s="10"/>
    </row>
    <row r="294" spans="2:11" ht="14.25" customHeight="1" x14ac:dyDescent="0.3">
      <c r="B294" s="7"/>
      <c r="C294" s="10"/>
      <c r="D294" s="12"/>
      <c r="E294" s="7"/>
      <c r="F294" s="7"/>
      <c r="G294" s="7"/>
      <c r="H294" s="10"/>
      <c r="I294" s="19"/>
      <c r="J294" s="10"/>
      <c r="K294" s="10"/>
    </row>
    <row r="295" spans="2:11" ht="14.25" customHeight="1" x14ac:dyDescent="0.3">
      <c r="B295" s="7"/>
      <c r="C295" s="10"/>
      <c r="D295" s="12"/>
      <c r="E295" s="7"/>
      <c r="F295" s="7"/>
      <c r="G295" s="7"/>
      <c r="H295" s="10"/>
      <c r="I295" s="19"/>
      <c r="J295" s="10"/>
      <c r="K295" s="10"/>
    </row>
    <row r="296" spans="2:11" ht="14.25" customHeight="1" x14ac:dyDescent="0.3">
      <c r="B296" s="7"/>
      <c r="C296" s="10"/>
      <c r="D296" s="12"/>
      <c r="E296" s="7"/>
      <c r="F296" s="7"/>
      <c r="G296" s="7"/>
      <c r="H296" s="10"/>
      <c r="I296" s="19"/>
      <c r="J296" s="10"/>
      <c r="K296" s="10"/>
    </row>
    <row r="297" spans="2:11" ht="14.25" customHeight="1" x14ac:dyDescent="0.3">
      <c r="B297" s="7"/>
      <c r="C297" s="10"/>
      <c r="D297" s="12"/>
      <c r="E297" s="7"/>
      <c r="F297" s="7"/>
      <c r="G297" s="7"/>
      <c r="H297" s="10"/>
      <c r="I297" s="19"/>
      <c r="J297" s="10"/>
      <c r="K297" s="10"/>
    </row>
    <row r="298" spans="2:11" ht="14.25" customHeight="1" x14ac:dyDescent="0.3">
      <c r="B298" s="7"/>
      <c r="C298" s="10"/>
      <c r="D298" s="12"/>
      <c r="E298" s="7"/>
      <c r="F298" s="7"/>
      <c r="G298" s="7"/>
      <c r="H298" s="10"/>
      <c r="I298" s="19"/>
      <c r="J298" s="10"/>
      <c r="K298" s="10"/>
    </row>
    <row r="299" spans="2:11" ht="14.25" customHeight="1" x14ac:dyDescent="0.3">
      <c r="B299" s="7"/>
      <c r="C299" s="10"/>
      <c r="D299" s="12"/>
      <c r="E299" s="7"/>
      <c r="F299" s="7"/>
      <c r="G299" s="7"/>
      <c r="H299" s="10"/>
      <c r="I299" s="19"/>
      <c r="J299" s="10"/>
      <c r="K299" s="10"/>
    </row>
    <row r="300" spans="2:11" ht="14.25" customHeight="1" x14ac:dyDescent="0.3">
      <c r="B300" s="7"/>
      <c r="C300" s="10"/>
      <c r="D300" s="12"/>
      <c r="E300" s="7"/>
      <c r="F300" s="7"/>
      <c r="G300" s="7"/>
      <c r="H300" s="10"/>
      <c r="I300" s="19"/>
      <c r="J300" s="10"/>
      <c r="K300" s="10"/>
    </row>
    <row r="301" spans="2:11" ht="14.25" customHeight="1" x14ac:dyDescent="0.3">
      <c r="B301" s="7"/>
      <c r="C301" s="10"/>
      <c r="D301" s="12"/>
      <c r="E301" s="7"/>
      <c r="F301" s="7"/>
      <c r="G301" s="7"/>
      <c r="H301" s="10"/>
      <c r="I301" s="19"/>
      <c r="J301" s="10"/>
      <c r="K301" s="10"/>
    </row>
    <row r="302" spans="2:11" ht="14.25" customHeight="1" x14ac:dyDescent="0.3">
      <c r="B302" s="7"/>
      <c r="C302" s="10"/>
      <c r="D302" s="12"/>
      <c r="E302" s="7"/>
      <c r="F302" s="7"/>
      <c r="G302" s="7"/>
      <c r="H302" s="10"/>
      <c r="I302" s="19"/>
      <c r="J302" s="10"/>
      <c r="K302" s="10"/>
    </row>
    <row r="303" spans="2:11" ht="14.25" customHeight="1" x14ac:dyDescent="0.3">
      <c r="B303" s="7"/>
      <c r="C303" s="10"/>
      <c r="D303" s="12"/>
      <c r="E303" s="7"/>
      <c r="F303" s="7"/>
      <c r="G303" s="7"/>
      <c r="H303" s="10"/>
      <c r="I303" s="19"/>
      <c r="J303" s="10"/>
      <c r="K303" s="10"/>
    </row>
    <row r="304" spans="2:11" ht="14.25" customHeight="1" x14ac:dyDescent="0.3">
      <c r="B304" s="7"/>
      <c r="C304" s="10"/>
      <c r="D304" s="12"/>
      <c r="E304" s="7"/>
      <c r="F304" s="7"/>
      <c r="G304" s="7"/>
      <c r="H304" s="10"/>
      <c r="I304" s="19"/>
      <c r="J304" s="10"/>
      <c r="K304" s="10"/>
    </row>
    <row r="305" spans="2:11" ht="14.25" customHeight="1" x14ac:dyDescent="0.3">
      <c r="B305" s="7"/>
      <c r="C305" s="10"/>
      <c r="D305" s="12"/>
      <c r="E305" s="7"/>
      <c r="F305" s="7"/>
      <c r="G305" s="7"/>
      <c r="H305" s="10"/>
      <c r="I305" s="19"/>
      <c r="J305" s="10"/>
      <c r="K305" s="10"/>
    </row>
    <row r="306" spans="2:11" ht="14.25" customHeight="1" x14ac:dyDescent="0.3">
      <c r="B306" s="7"/>
      <c r="C306" s="10"/>
      <c r="D306" s="12"/>
      <c r="E306" s="7"/>
      <c r="F306" s="7"/>
      <c r="G306" s="7"/>
      <c r="H306" s="10"/>
      <c r="I306" s="19"/>
      <c r="J306" s="10"/>
      <c r="K306" s="10"/>
    </row>
    <row r="307" spans="2:11" ht="14.25" customHeight="1" x14ac:dyDescent="0.3">
      <c r="B307" s="7"/>
      <c r="C307" s="10"/>
      <c r="D307" s="12"/>
      <c r="E307" s="7"/>
      <c r="F307" s="7"/>
      <c r="G307" s="7"/>
      <c r="H307" s="10"/>
      <c r="I307" s="19"/>
      <c r="J307" s="10"/>
      <c r="K307" s="10"/>
    </row>
    <row r="308" spans="2:11" ht="14.25" customHeight="1" x14ac:dyDescent="0.3">
      <c r="B308" s="7"/>
      <c r="C308" s="10"/>
      <c r="D308" s="12"/>
      <c r="E308" s="7"/>
      <c r="F308" s="7"/>
      <c r="G308" s="7"/>
      <c r="H308" s="10"/>
      <c r="I308" s="19"/>
      <c r="J308" s="10"/>
      <c r="K308" s="10"/>
    </row>
    <row r="309" spans="2:11" ht="14.25" customHeight="1" x14ac:dyDescent="0.3">
      <c r="B309" s="7"/>
      <c r="C309" s="10"/>
      <c r="D309" s="12"/>
      <c r="E309" s="7"/>
      <c r="F309" s="7"/>
      <c r="G309" s="7"/>
      <c r="H309" s="10"/>
      <c r="I309" s="19"/>
      <c r="J309" s="10"/>
      <c r="K309" s="10"/>
    </row>
    <row r="310" spans="2:11" ht="14.25" customHeight="1" x14ac:dyDescent="0.3">
      <c r="B310" s="7"/>
      <c r="C310" s="10"/>
      <c r="D310" s="12"/>
      <c r="E310" s="7"/>
      <c r="F310" s="7"/>
      <c r="G310" s="7"/>
      <c r="H310" s="10"/>
      <c r="I310" s="19"/>
      <c r="J310" s="10"/>
      <c r="K310" s="10"/>
    </row>
    <row r="311" spans="2:11" ht="14.25" customHeight="1" x14ac:dyDescent="0.3">
      <c r="B311" s="7"/>
      <c r="C311" s="10"/>
      <c r="D311" s="12"/>
      <c r="E311" s="7"/>
      <c r="F311" s="7"/>
      <c r="G311" s="7"/>
      <c r="H311" s="10"/>
      <c r="I311" s="19"/>
      <c r="J311" s="10"/>
      <c r="K311" s="10"/>
    </row>
    <row r="312" spans="2:11" ht="14.25" customHeight="1" x14ac:dyDescent="0.3">
      <c r="B312" s="7"/>
      <c r="C312" s="10"/>
      <c r="D312" s="12"/>
      <c r="E312" s="7"/>
      <c r="F312" s="7"/>
      <c r="G312" s="7"/>
      <c r="H312" s="10"/>
      <c r="I312" s="19"/>
      <c r="J312" s="10"/>
      <c r="K312" s="10"/>
    </row>
    <row r="313" spans="2:11" ht="14.25" customHeight="1" x14ac:dyDescent="0.3">
      <c r="B313" s="7"/>
      <c r="C313" s="10"/>
      <c r="D313" s="12"/>
      <c r="E313" s="7"/>
      <c r="F313" s="7"/>
      <c r="G313" s="7"/>
      <c r="H313" s="10"/>
      <c r="I313" s="19"/>
      <c r="J313" s="10"/>
      <c r="K313" s="10"/>
    </row>
    <row r="314" spans="2:11" ht="14.25" customHeight="1" x14ac:dyDescent="0.3">
      <c r="B314" s="7"/>
      <c r="C314" s="10"/>
      <c r="D314" s="12"/>
      <c r="E314" s="7"/>
      <c r="F314" s="7"/>
      <c r="G314" s="7"/>
      <c r="H314" s="10"/>
      <c r="I314" s="19"/>
      <c r="J314" s="10"/>
      <c r="K314" s="10"/>
    </row>
    <row r="315" spans="2:11" ht="14.25" customHeight="1" x14ac:dyDescent="0.3">
      <c r="B315" s="7"/>
      <c r="C315" s="10"/>
      <c r="D315" s="12"/>
      <c r="E315" s="7"/>
      <c r="F315" s="7"/>
      <c r="G315" s="7"/>
      <c r="H315" s="10"/>
      <c r="I315" s="19"/>
      <c r="J315" s="10"/>
      <c r="K315" s="10"/>
    </row>
    <row r="316" spans="2:11" ht="14.25" customHeight="1" x14ac:dyDescent="0.3">
      <c r="B316" s="7"/>
      <c r="C316" s="10"/>
      <c r="D316" s="12"/>
      <c r="E316" s="7"/>
      <c r="F316" s="7"/>
      <c r="G316" s="7"/>
      <c r="H316" s="10"/>
      <c r="I316" s="19"/>
      <c r="J316" s="10"/>
      <c r="K316" s="10"/>
    </row>
    <row r="317" spans="2:11" ht="14.25" customHeight="1" x14ac:dyDescent="0.3">
      <c r="B317" s="7"/>
      <c r="C317" s="10"/>
      <c r="D317" s="12"/>
      <c r="E317" s="7"/>
      <c r="F317" s="7"/>
      <c r="G317" s="7"/>
      <c r="H317" s="10"/>
      <c r="I317" s="19"/>
      <c r="J317" s="10"/>
      <c r="K317" s="10"/>
    </row>
    <row r="318" spans="2:11" ht="14.25" customHeight="1" x14ac:dyDescent="0.3">
      <c r="B318" s="7"/>
      <c r="C318" s="10"/>
      <c r="D318" s="12"/>
      <c r="E318" s="7"/>
      <c r="F318" s="7"/>
      <c r="G318" s="7"/>
      <c r="H318" s="10"/>
      <c r="I318" s="19"/>
      <c r="J318" s="10"/>
      <c r="K318" s="10"/>
    </row>
    <row r="319" spans="2:11" ht="14.25" customHeight="1" x14ac:dyDescent="0.3">
      <c r="B319" s="7"/>
      <c r="C319" s="10"/>
      <c r="D319" s="12"/>
      <c r="E319" s="7"/>
      <c r="F319" s="7"/>
      <c r="G319" s="7"/>
      <c r="H319" s="10"/>
      <c r="I319" s="19"/>
      <c r="J319" s="10"/>
      <c r="K319" s="10"/>
    </row>
    <row r="320" spans="2:11" ht="14.25" customHeight="1" x14ac:dyDescent="0.3">
      <c r="B320" s="7"/>
      <c r="C320" s="10"/>
      <c r="D320" s="12"/>
      <c r="E320" s="7"/>
      <c r="F320" s="7"/>
      <c r="G320" s="7"/>
      <c r="H320" s="10"/>
      <c r="I320" s="19"/>
      <c r="J320" s="10"/>
      <c r="K320" s="10"/>
    </row>
    <row r="321" spans="2:11" ht="14.25" customHeight="1" x14ac:dyDescent="0.3">
      <c r="B321" s="7"/>
      <c r="C321" s="10"/>
      <c r="D321" s="12"/>
      <c r="E321" s="7"/>
      <c r="F321" s="7"/>
      <c r="G321" s="7"/>
      <c r="H321" s="10"/>
      <c r="I321" s="19"/>
      <c r="J321" s="10"/>
      <c r="K321" s="10"/>
    </row>
    <row r="322" spans="2:11" ht="14.25" customHeight="1" x14ac:dyDescent="0.3">
      <c r="B322" s="7"/>
      <c r="C322" s="10"/>
      <c r="D322" s="12"/>
      <c r="E322" s="7"/>
      <c r="F322" s="7"/>
      <c r="G322" s="7"/>
      <c r="H322" s="10"/>
      <c r="I322" s="19"/>
      <c r="J322" s="10"/>
      <c r="K322" s="10"/>
    </row>
    <row r="323" spans="2:11" ht="14.25" customHeight="1" x14ac:dyDescent="0.3">
      <c r="B323" s="7"/>
      <c r="C323" s="10"/>
      <c r="D323" s="12"/>
      <c r="E323" s="7"/>
      <c r="F323" s="7"/>
      <c r="G323" s="7"/>
      <c r="H323" s="10"/>
      <c r="I323" s="19"/>
      <c r="J323" s="10"/>
      <c r="K323" s="10"/>
    </row>
    <row r="324" spans="2:11" ht="14.25" customHeight="1" x14ac:dyDescent="0.3">
      <c r="B324" s="7"/>
      <c r="C324" s="10"/>
      <c r="D324" s="12"/>
      <c r="E324" s="7"/>
      <c r="F324" s="7"/>
      <c r="G324" s="7"/>
      <c r="H324" s="10"/>
      <c r="I324" s="19"/>
      <c r="J324" s="10"/>
      <c r="K324" s="10"/>
    </row>
    <row r="325" spans="2:11" ht="14.25" customHeight="1" x14ac:dyDescent="0.3">
      <c r="B325" s="7"/>
      <c r="C325" s="10"/>
      <c r="D325" s="12"/>
      <c r="E325" s="7"/>
      <c r="F325" s="7"/>
      <c r="G325" s="7"/>
      <c r="H325" s="10"/>
      <c r="I325" s="19"/>
      <c r="J325" s="10"/>
      <c r="K325" s="10"/>
    </row>
    <row r="326" spans="2:11" ht="14.25" customHeight="1" x14ac:dyDescent="0.3">
      <c r="B326" s="7"/>
      <c r="C326" s="10"/>
      <c r="D326" s="12"/>
      <c r="E326" s="7"/>
      <c r="F326" s="7"/>
      <c r="G326" s="7"/>
      <c r="H326" s="10"/>
      <c r="I326" s="19"/>
      <c r="J326" s="10"/>
      <c r="K326" s="10"/>
    </row>
    <row r="327" spans="2:11" ht="14.25" customHeight="1" x14ac:dyDescent="0.3">
      <c r="B327" s="7"/>
      <c r="C327" s="10"/>
      <c r="D327" s="12"/>
      <c r="E327" s="7"/>
      <c r="F327" s="7"/>
      <c r="G327" s="7"/>
      <c r="H327" s="10"/>
      <c r="I327" s="19"/>
      <c r="J327" s="10"/>
      <c r="K327" s="10"/>
    </row>
    <row r="328" spans="2:11" ht="14.25" customHeight="1" x14ac:dyDescent="0.3">
      <c r="B328" s="7"/>
      <c r="C328" s="10"/>
      <c r="D328" s="12"/>
      <c r="E328" s="7"/>
      <c r="F328" s="7"/>
      <c r="G328" s="7"/>
      <c r="H328" s="10"/>
      <c r="I328" s="19"/>
      <c r="J328" s="10"/>
      <c r="K328" s="10"/>
    </row>
    <row r="329" spans="2:11" ht="14.25" customHeight="1" x14ac:dyDescent="0.3">
      <c r="B329" s="7"/>
      <c r="C329" s="10"/>
      <c r="D329" s="12"/>
      <c r="E329" s="7"/>
      <c r="F329" s="7"/>
      <c r="G329" s="7"/>
      <c r="H329" s="10"/>
      <c r="I329" s="19"/>
      <c r="J329" s="10"/>
      <c r="K329" s="10"/>
    </row>
    <row r="330" spans="2:11" ht="14.25" customHeight="1" x14ac:dyDescent="0.3">
      <c r="B330" s="7"/>
      <c r="C330" s="10"/>
      <c r="D330" s="12"/>
      <c r="E330" s="7"/>
      <c r="F330" s="7"/>
      <c r="G330" s="7"/>
      <c r="H330" s="10"/>
      <c r="I330" s="19"/>
      <c r="J330" s="10"/>
      <c r="K330" s="10"/>
    </row>
    <row r="331" spans="2:11" ht="14.25" customHeight="1" x14ac:dyDescent="0.3">
      <c r="B331" s="7"/>
      <c r="C331" s="10"/>
      <c r="D331" s="12"/>
      <c r="E331" s="7"/>
      <c r="F331" s="7"/>
      <c r="G331" s="7"/>
      <c r="H331" s="10"/>
      <c r="I331" s="19"/>
      <c r="J331" s="10"/>
      <c r="K331" s="10"/>
    </row>
    <row r="332" spans="2:11" ht="14.25" customHeight="1" x14ac:dyDescent="0.3">
      <c r="B332" s="7"/>
      <c r="C332" s="10"/>
      <c r="D332" s="12"/>
      <c r="E332" s="7"/>
      <c r="F332" s="7"/>
      <c r="G332" s="7"/>
      <c r="H332" s="10"/>
      <c r="I332" s="19"/>
      <c r="J332" s="10"/>
      <c r="K332" s="10"/>
    </row>
    <row r="333" spans="2:11" ht="14.25" customHeight="1" x14ac:dyDescent="0.3">
      <c r="B333" s="7"/>
      <c r="C333" s="10"/>
      <c r="D333" s="12"/>
      <c r="E333" s="7"/>
      <c r="F333" s="7"/>
      <c r="G333" s="7"/>
      <c r="H333" s="10"/>
      <c r="I333" s="19"/>
      <c r="J333" s="10"/>
      <c r="K333" s="10"/>
    </row>
    <row r="334" spans="2:11" ht="14.25" customHeight="1" x14ac:dyDescent="0.3">
      <c r="B334" s="7"/>
      <c r="C334" s="10"/>
      <c r="D334" s="12"/>
      <c r="E334" s="7"/>
      <c r="F334" s="7"/>
      <c r="G334" s="7"/>
      <c r="H334" s="10"/>
      <c r="I334" s="19"/>
      <c r="J334" s="10"/>
      <c r="K334" s="10"/>
    </row>
    <row r="335" spans="2:11" ht="14.25" customHeight="1" x14ac:dyDescent="0.3">
      <c r="B335" s="7"/>
      <c r="C335" s="10"/>
      <c r="D335" s="12"/>
      <c r="E335" s="7"/>
      <c r="F335" s="7"/>
      <c r="G335" s="7"/>
      <c r="H335" s="10"/>
      <c r="I335" s="19"/>
      <c r="J335" s="10"/>
      <c r="K335" s="10"/>
    </row>
    <row r="336" spans="2:11" ht="14.25" customHeight="1" x14ac:dyDescent="0.3">
      <c r="B336" s="7"/>
      <c r="C336" s="10"/>
      <c r="D336" s="12"/>
      <c r="E336" s="7"/>
      <c r="F336" s="7"/>
      <c r="G336" s="7"/>
      <c r="H336" s="10"/>
      <c r="I336" s="19"/>
      <c r="J336" s="10"/>
      <c r="K336" s="10"/>
    </row>
    <row r="337" spans="2:11" ht="14.25" customHeight="1" x14ac:dyDescent="0.3">
      <c r="B337" s="7"/>
      <c r="C337" s="10"/>
      <c r="D337" s="12"/>
      <c r="E337" s="7"/>
      <c r="F337" s="7"/>
      <c r="G337" s="7"/>
      <c r="H337" s="10"/>
      <c r="I337" s="19"/>
      <c r="J337" s="10"/>
      <c r="K337" s="10"/>
    </row>
    <row r="338" spans="2:11" ht="14.25" customHeight="1" x14ac:dyDescent="0.3">
      <c r="B338" s="7"/>
      <c r="C338" s="10"/>
      <c r="D338" s="12"/>
      <c r="E338" s="7"/>
      <c r="F338" s="7"/>
      <c r="G338" s="7"/>
      <c r="H338" s="10"/>
      <c r="I338" s="19"/>
      <c r="J338" s="10"/>
      <c r="K338" s="10"/>
    </row>
    <row r="339" spans="2:11" ht="14.25" customHeight="1" x14ac:dyDescent="0.3">
      <c r="B339" s="7"/>
      <c r="C339" s="10"/>
      <c r="D339" s="12"/>
      <c r="E339" s="7"/>
      <c r="F339" s="7"/>
      <c r="G339" s="7"/>
      <c r="H339" s="10"/>
      <c r="I339" s="19"/>
      <c r="J339" s="10"/>
      <c r="K339" s="10"/>
    </row>
    <row r="340" spans="2:11" ht="14.25" customHeight="1" x14ac:dyDescent="0.3">
      <c r="B340" s="7"/>
      <c r="C340" s="10"/>
      <c r="D340" s="12"/>
      <c r="E340" s="7"/>
      <c r="F340" s="7"/>
      <c r="G340" s="7"/>
      <c r="H340" s="10"/>
      <c r="I340" s="19"/>
      <c r="J340" s="10"/>
      <c r="K340" s="10"/>
    </row>
    <row r="341" spans="2:11" ht="14.25" customHeight="1" x14ac:dyDescent="0.3">
      <c r="B341" s="7"/>
      <c r="C341" s="10"/>
      <c r="D341" s="12"/>
      <c r="E341" s="7"/>
      <c r="F341" s="7"/>
      <c r="G341" s="7"/>
      <c r="H341" s="10"/>
      <c r="I341" s="19"/>
      <c r="J341" s="10"/>
      <c r="K341" s="10"/>
    </row>
    <row r="342" spans="2:11" ht="14.25" customHeight="1" x14ac:dyDescent="0.3">
      <c r="B342" s="7"/>
      <c r="C342" s="10"/>
      <c r="D342" s="12"/>
      <c r="E342" s="7"/>
      <c r="F342" s="7"/>
      <c r="G342" s="7"/>
      <c r="H342" s="10"/>
      <c r="I342" s="19"/>
      <c r="J342" s="10"/>
      <c r="K342" s="10"/>
    </row>
    <row r="343" spans="2:11" ht="14.25" customHeight="1" x14ac:dyDescent="0.3">
      <c r="B343" s="7"/>
      <c r="C343" s="10"/>
      <c r="D343" s="12"/>
      <c r="E343" s="7"/>
      <c r="F343" s="7"/>
      <c r="G343" s="7"/>
      <c r="H343" s="10"/>
      <c r="I343" s="19"/>
      <c r="J343" s="10"/>
      <c r="K343" s="10"/>
    </row>
    <row r="344" spans="2:11" ht="14.25" customHeight="1" x14ac:dyDescent="0.3">
      <c r="B344" s="7"/>
      <c r="C344" s="10"/>
      <c r="D344" s="12"/>
      <c r="E344" s="7"/>
      <c r="F344" s="7"/>
      <c r="G344" s="7"/>
      <c r="H344" s="10"/>
      <c r="I344" s="19"/>
      <c r="J344" s="10"/>
      <c r="K344" s="10"/>
    </row>
    <row r="345" spans="2:11" ht="14.25" customHeight="1" x14ac:dyDescent="0.3">
      <c r="B345" s="7"/>
      <c r="C345" s="10"/>
      <c r="D345" s="12"/>
      <c r="E345" s="7"/>
      <c r="F345" s="7"/>
      <c r="G345" s="7"/>
      <c r="H345" s="10"/>
      <c r="I345" s="19"/>
      <c r="J345" s="10"/>
      <c r="K345" s="10"/>
    </row>
    <row r="346" spans="2:11" ht="14.25" customHeight="1" x14ac:dyDescent="0.3">
      <c r="B346" s="7"/>
      <c r="C346" s="10"/>
      <c r="D346" s="12"/>
      <c r="E346" s="7"/>
      <c r="F346" s="7"/>
      <c r="G346" s="7"/>
      <c r="H346" s="10"/>
      <c r="I346" s="19"/>
      <c r="J346" s="10"/>
      <c r="K346" s="10"/>
    </row>
    <row r="347" spans="2:11" ht="14.25" customHeight="1" x14ac:dyDescent="0.3">
      <c r="B347" s="7"/>
      <c r="C347" s="10"/>
      <c r="D347" s="12"/>
      <c r="E347" s="7"/>
      <c r="F347" s="7"/>
      <c r="G347" s="7"/>
      <c r="H347" s="10"/>
      <c r="I347" s="19"/>
      <c r="J347" s="10"/>
      <c r="K347" s="10"/>
    </row>
    <row r="348" spans="2:11" ht="14.25" customHeight="1" x14ac:dyDescent="0.3">
      <c r="B348" s="7"/>
      <c r="C348" s="10"/>
      <c r="D348" s="12"/>
      <c r="E348" s="7"/>
      <c r="F348" s="7"/>
      <c r="G348" s="7"/>
      <c r="H348" s="10"/>
      <c r="I348" s="19"/>
      <c r="J348" s="10"/>
      <c r="K348" s="10"/>
    </row>
    <row r="349" spans="2:11" ht="14.25" customHeight="1" x14ac:dyDescent="0.3">
      <c r="B349" s="7"/>
      <c r="C349" s="10"/>
      <c r="D349" s="12"/>
      <c r="E349" s="7"/>
      <c r="F349" s="7"/>
      <c r="G349" s="7"/>
      <c r="H349" s="10"/>
      <c r="I349" s="19"/>
      <c r="J349" s="10"/>
      <c r="K349" s="10"/>
    </row>
    <row r="350" spans="2:11" ht="14.25" customHeight="1" x14ac:dyDescent="0.3">
      <c r="B350" s="7"/>
      <c r="C350" s="10"/>
      <c r="D350" s="12"/>
      <c r="E350" s="7"/>
      <c r="F350" s="7"/>
      <c r="G350" s="7"/>
      <c r="H350" s="10"/>
      <c r="I350" s="19"/>
      <c r="J350" s="10"/>
      <c r="K350" s="10"/>
    </row>
    <row r="351" spans="2:11" ht="14.25" customHeight="1" x14ac:dyDescent="0.3">
      <c r="B351" s="7"/>
      <c r="C351" s="10"/>
      <c r="D351" s="12"/>
      <c r="E351" s="7"/>
      <c r="F351" s="7"/>
      <c r="G351" s="7"/>
      <c r="H351" s="10"/>
      <c r="I351" s="19"/>
      <c r="J351" s="10"/>
      <c r="K351" s="10"/>
    </row>
    <row r="352" spans="2:11" ht="14.25" customHeight="1" x14ac:dyDescent="0.3">
      <c r="B352" s="7"/>
      <c r="C352" s="10"/>
      <c r="D352" s="12"/>
      <c r="E352" s="7"/>
      <c r="F352" s="7"/>
      <c r="G352" s="7"/>
      <c r="H352" s="10"/>
      <c r="I352" s="19"/>
      <c r="J352" s="10"/>
      <c r="K352" s="10"/>
    </row>
    <row r="353" spans="2:11" ht="14.25" customHeight="1" x14ac:dyDescent="0.3">
      <c r="B353" s="7"/>
      <c r="C353" s="10"/>
      <c r="D353" s="12"/>
      <c r="E353" s="7"/>
      <c r="F353" s="7"/>
      <c r="G353" s="7"/>
      <c r="H353" s="10"/>
      <c r="I353" s="19"/>
      <c r="J353" s="10"/>
      <c r="K353" s="10"/>
    </row>
    <row r="354" spans="2:11" ht="14.25" customHeight="1" x14ac:dyDescent="0.3">
      <c r="B354" s="7"/>
      <c r="C354" s="10"/>
      <c r="D354" s="12"/>
      <c r="E354" s="7"/>
      <c r="F354" s="7"/>
      <c r="G354" s="7"/>
      <c r="H354" s="10"/>
      <c r="I354" s="19"/>
      <c r="J354" s="10"/>
      <c r="K354" s="10"/>
    </row>
    <row r="355" spans="2:11" ht="14.25" customHeight="1" x14ac:dyDescent="0.3">
      <c r="B355" s="7"/>
      <c r="C355" s="10"/>
      <c r="D355" s="12"/>
      <c r="E355" s="7"/>
      <c r="F355" s="7"/>
      <c r="G355" s="7"/>
      <c r="H355" s="10"/>
      <c r="I355" s="19"/>
      <c r="J355" s="10"/>
      <c r="K355" s="10"/>
    </row>
    <row r="356" spans="2:11" ht="14.25" customHeight="1" x14ac:dyDescent="0.3">
      <c r="B356" s="7"/>
      <c r="C356" s="10"/>
      <c r="D356" s="12"/>
      <c r="E356" s="7"/>
      <c r="F356" s="7"/>
      <c r="G356" s="7"/>
      <c r="H356" s="10"/>
      <c r="I356" s="19"/>
      <c r="J356" s="10"/>
      <c r="K356" s="10"/>
    </row>
    <row r="357" spans="2:11" ht="14.25" customHeight="1" x14ac:dyDescent="0.3">
      <c r="B357" s="7"/>
      <c r="C357" s="10"/>
      <c r="D357" s="12"/>
      <c r="E357" s="7"/>
      <c r="F357" s="7"/>
      <c r="G357" s="7"/>
      <c r="H357" s="10"/>
      <c r="I357" s="19"/>
      <c r="J357" s="10"/>
      <c r="K357" s="10"/>
    </row>
    <row r="358" spans="2:11" ht="14.25" customHeight="1" x14ac:dyDescent="0.3">
      <c r="B358" s="7"/>
      <c r="C358" s="10"/>
      <c r="D358" s="12"/>
      <c r="E358" s="7"/>
      <c r="F358" s="7"/>
      <c r="G358" s="7"/>
      <c r="H358" s="10"/>
      <c r="I358" s="19"/>
      <c r="J358" s="10"/>
      <c r="K358" s="10"/>
    </row>
    <row r="359" spans="2:11" ht="14.25" customHeight="1" x14ac:dyDescent="0.3">
      <c r="B359" s="7"/>
      <c r="C359" s="10"/>
      <c r="D359" s="12"/>
      <c r="E359" s="7"/>
      <c r="F359" s="7"/>
      <c r="G359" s="7"/>
      <c r="H359" s="10"/>
      <c r="I359" s="19"/>
      <c r="J359" s="10"/>
      <c r="K359" s="10"/>
    </row>
    <row r="360" spans="2:11" ht="14.25" customHeight="1" x14ac:dyDescent="0.3">
      <c r="B360" s="7"/>
      <c r="C360" s="10"/>
      <c r="D360" s="12"/>
      <c r="E360" s="7"/>
      <c r="F360" s="7"/>
      <c r="G360" s="7"/>
      <c r="H360" s="10"/>
      <c r="I360" s="19"/>
      <c r="J360" s="10"/>
      <c r="K360" s="10"/>
    </row>
    <row r="361" spans="2:11" ht="14.25" customHeight="1" x14ac:dyDescent="0.3">
      <c r="B361" s="7"/>
      <c r="C361" s="10"/>
      <c r="D361" s="12"/>
      <c r="E361" s="7"/>
      <c r="F361" s="7"/>
      <c r="G361" s="7"/>
      <c r="H361" s="10"/>
      <c r="I361" s="19"/>
      <c r="J361" s="10"/>
      <c r="K361" s="10"/>
    </row>
    <row r="362" spans="2:11" ht="14.25" customHeight="1" x14ac:dyDescent="0.3">
      <c r="B362" s="7"/>
      <c r="C362" s="10"/>
      <c r="D362" s="12"/>
      <c r="E362" s="7"/>
      <c r="F362" s="7"/>
      <c r="G362" s="7"/>
      <c r="H362" s="10"/>
      <c r="I362" s="19"/>
      <c r="J362" s="10"/>
      <c r="K362" s="10"/>
    </row>
    <row r="363" spans="2:11" ht="14.25" customHeight="1" x14ac:dyDescent="0.3">
      <c r="B363" s="7"/>
      <c r="C363" s="10"/>
      <c r="D363" s="12"/>
      <c r="E363" s="7"/>
      <c r="F363" s="7"/>
      <c r="G363" s="7"/>
      <c r="H363" s="10"/>
      <c r="I363" s="19"/>
      <c r="J363" s="10"/>
      <c r="K363" s="10"/>
    </row>
    <row r="364" spans="2:11" ht="14.25" customHeight="1" x14ac:dyDescent="0.3">
      <c r="B364" s="7"/>
      <c r="C364" s="10"/>
      <c r="D364" s="12"/>
      <c r="E364" s="7"/>
      <c r="F364" s="7"/>
      <c r="G364" s="7"/>
      <c r="H364" s="10"/>
      <c r="I364" s="19"/>
      <c r="J364" s="10"/>
      <c r="K364" s="10"/>
    </row>
    <row r="365" spans="2:11" ht="14.25" customHeight="1" x14ac:dyDescent="0.3">
      <c r="B365" s="7"/>
      <c r="C365" s="10"/>
      <c r="D365" s="12"/>
      <c r="E365" s="7"/>
      <c r="F365" s="7"/>
      <c r="G365" s="7"/>
      <c r="H365" s="10"/>
      <c r="I365" s="19"/>
      <c r="J365" s="10"/>
      <c r="K365" s="10"/>
    </row>
    <row r="366" spans="2:11" ht="14.25" customHeight="1" x14ac:dyDescent="0.3">
      <c r="B366" s="7"/>
      <c r="C366" s="10"/>
      <c r="D366" s="12"/>
      <c r="E366" s="7"/>
      <c r="F366" s="7"/>
      <c r="G366" s="7"/>
      <c r="H366" s="10"/>
      <c r="I366" s="19"/>
      <c r="J366" s="10"/>
      <c r="K366" s="10"/>
    </row>
    <row r="367" spans="2:11" ht="14.25" customHeight="1" x14ac:dyDescent="0.3">
      <c r="B367" s="7"/>
      <c r="C367" s="10"/>
      <c r="D367" s="12"/>
      <c r="E367" s="7"/>
      <c r="F367" s="7"/>
      <c r="G367" s="7"/>
      <c r="H367" s="10"/>
      <c r="I367" s="19"/>
      <c r="J367" s="10"/>
      <c r="K367" s="10"/>
    </row>
    <row r="368" spans="2:11" ht="14.25" customHeight="1" x14ac:dyDescent="0.3">
      <c r="B368" s="7"/>
      <c r="C368" s="10"/>
      <c r="D368" s="12"/>
      <c r="E368" s="7"/>
      <c r="F368" s="7"/>
      <c r="G368" s="7"/>
      <c r="H368" s="10"/>
      <c r="I368" s="19"/>
      <c r="J368" s="10"/>
      <c r="K368" s="10"/>
    </row>
    <row r="369" spans="2:11" ht="14.25" customHeight="1" x14ac:dyDescent="0.3">
      <c r="B369" s="7"/>
      <c r="C369" s="10"/>
      <c r="D369" s="12"/>
      <c r="E369" s="7"/>
      <c r="F369" s="7"/>
      <c r="G369" s="7"/>
      <c r="H369" s="10"/>
      <c r="I369" s="19"/>
      <c r="J369" s="10"/>
      <c r="K369" s="10"/>
    </row>
    <row r="370" spans="2:11" ht="14.25" customHeight="1" x14ac:dyDescent="0.3">
      <c r="B370" s="7"/>
      <c r="C370" s="10"/>
      <c r="D370" s="12"/>
      <c r="E370" s="7"/>
      <c r="F370" s="7"/>
      <c r="G370" s="7"/>
      <c r="H370" s="10"/>
      <c r="I370" s="19"/>
      <c r="J370" s="10"/>
      <c r="K370" s="10"/>
    </row>
    <row r="371" spans="2:11" ht="14.25" customHeight="1" x14ac:dyDescent="0.3">
      <c r="B371" s="7"/>
      <c r="C371" s="10"/>
      <c r="D371" s="12"/>
      <c r="E371" s="7"/>
      <c r="F371" s="7"/>
      <c r="G371" s="7"/>
      <c r="H371" s="10"/>
      <c r="I371" s="19"/>
      <c r="J371" s="10"/>
      <c r="K371" s="10"/>
    </row>
    <row r="372" spans="2:11" ht="14.25" customHeight="1" x14ac:dyDescent="0.3">
      <c r="B372" s="7"/>
      <c r="C372" s="10"/>
      <c r="D372" s="12"/>
      <c r="E372" s="7"/>
      <c r="F372" s="7"/>
      <c r="G372" s="7"/>
      <c r="H372" s="10"/>
      <c r="I372" s="19"/>
      <c r="J372" s="10"/>
      <c r="K372" s="10"/>
    </row>
    <row r="373" spans="2:11" ht="14.25" customHeight="1" x14ac:dyDescent="0.3">
      <c r="B373" s="7"/>
      <c r="C373" s="10"/>
      <c r="D373" s="12"/>
      <c r="E373" s="7"/>
      <c r="F373" s="7"/>
      <c r="G373" s="7"/>
      <c r="H373" s="10"/>
      <c r="I373" s="19"/>
      <c r="J373" s="10"/>
      <c r="K373" s="10"/>
    </row>
    <row r="374" spans="2:11" ht="14.25" customHeight="1" x14ac:dyDescent="0.3">
      <c r="B374" s="7"/>
      <c r="C374" s="10"/>
      <c r="D374" s="12"/>
      <c r="E374" s="7"/>
      <c r="F374" s="7"/>
      <c r="G374" s="7"/>
      <c r="H374" s="10"/>
      <c r="I374" s="19"/>
      <c r="J374" s="10"/>
      <c r="K374" s="10"/>
    </row>
    <row r="375" spans="2:11" ht="14.25" customHeight="1" x14ac:dyDescent="0.3">
      <c r="B375" s="7"/>
      <c r="C375" s="10"/>
      <c r="D375" s="12"/>
      <c r="E375" s="7"/>
      <c r="F375" s="7"/>
      <c r="G375" s="7"/>
      <c r="H375" s="10"/>
      <c r="I375" s="19"/>
      <c r="J375" s="10"/>
      <c r="K375" s="10"/>
    </row>
    <row r="376" spans="2:11" ht="14.25" customHeight="1" x14ac:dyDescent="0.3">
      <c r="B376" s="7"/>
      <c r="C376" s="10"/>
      <c r="D376" s="12"/>
      <c r="E376" s="7"/>
      <c r="F376" s="7"/>
      <c r="G376" s="7"/>
      <c r="H376" s="10"/>
      <c r="I376" s="19"/>
      <c r="J376" s="10"/>
      <c r="K376" s="10"/>
    </row>
    <row r="377" spans="2:11" ht="14.25" customHeight="1" x14ac:dyDescent="0.3">
      <c r="B377" s="7"/>
      <c r="C377" s="10"/>
      <c r="D377" s="12"/>
      <c r="E377" s="7"/>
      <c r="F377" s="7"/>
      <c r="G377" s="7"/>
      <c r="H377" s="10"/>
      <c r="I377" s="19"/>
      <c r="J377" s="10"/>
      <c r="K377" s="10"/>
    </row>
    <row r="378" spans="2:11" ht="14.25" customHeight="1" x14ac:dyDescent="0.3">
      <c r="B378" s="7"/>
      <c r="C378" s="10"/>
      <c r="D378" s="12"/>
      <c r="E378" s="7"/>
      <c r="F378" s="7"/>
      <c r="G378" s="7"/>
      <c r="H378" s="10"/>
      <c r="I378" s="19"/>
      <c r="J378" s="10"/>
      <c r="K378" s="10"/>
    </row>
    <row r="379" spans="2:11" ht="14.25" customHeight="1" x14ac:dyDescent="0.3">
      <c r="B379" s="7"/>
      <c r="C379" s="10"/>
      <c r="D379" s="12"/>
      <c r="E379" s="7"/>
      <c r="F379" s="7"/>
      <c r="G379" s="7"/>
      <c r="H379" s="10"/>
      <c r="I379" s="19"/>
      <c r="J379" s="10"/>
      <c r="K379" s="10"/>
    </row>
    <row r="380" spans="2:11" ht="14.25" customHeight="1" x14ac:dyDescent="0.3">
      <c r="B380" s="7"/>
      <c r="C380" s="10"/>
      <c r="D380" s="12"/>
      <c r="E380" s="7"/>
      <c r="F380" s="7"/>
      <c r="G380" s="7"/>
      <c r="H380" s="10"/>
      <c r="I380" s="19"/>
      <c r="J380" s="10"/>
      <c r="K380" s="10"/>
    </row>
    <row r="381" spans="2:11" ht="14.25" customHeight="1" x14ac:dyDescent="0.3">
      <c r="B381" s="7"/>
      <c r="C381" s="10"/>
      <c r="D381" s="12"/>
      <c r="E381" s="7"/>
      <c r="F381" s="7"/>
      <c r="G381" s="7"/>
      <c r="H381" s="10"/>
      <c r="I381" s="19"/>
      <c r="J381" s="10"/>
      <c r="K381" s="10"/>
    </row>
    <row r="382" spans="2:11" ht="14.25" customHeight="1" x14ac:dyDescent="0.3">
      <c r="B382" s="7"/>
      <c r="C382" s="10"/>
      <c r="D382" s="12"/>
      <c r="E382" s="7"/>
      <c r="F382" s="7"/>
      <c r="G382" s="7"/>
      <c r="H382" s="10"/>
      <c r="I382" s="19"/>
      <c r="J382" s="10"/>
      <c r="K382" s="10"/>
    </row>
    <row r="383" spans="2:11" ht="14.25" customHeight="1" x14ac:dyDescent="0.3">
      <c r="B383" s="7"/>
      <c r="C383" s="10"/>
      <c r="D383" s="12"/>
      <c r="E383" s="7"/>
      <c r="F383" s="7"/>
      <c r="G383" s="7"/>
      <c r="H383" s="10"/>
      <c r="I383" s="19"/>
      <c r="J383" s="10"/>
      <c r="K383" s="10"/>
    </row>
    <row r="384" spans="2:11" ht="14.25" customHeight="1" x14ac:dyDescent="0.3">
      <c r="B384" s="7"/>
      <c r="C384" s="10"/>
      <c r="D384" s="12"/>
      <c r="E384" s="7"/>
      <c r="F384" s="7"/>
      <c r="G384" s="7"/>
      <c r="H384" s="10"/>
      <c r="I384" s="19"/>
      <c r="J384" s="10"/>
      <c r="K384" s="10"/>
    </row>
    <row r="385" spans="2:11" ht="14.25" customHeight="1" x14ac:dyDescent="0.3">
      <c r="B385" s="7"/>
      <c r="C385" s="10"/>
      <c r="D385" s="12"/>
      <c r="E385" s="7"/>
      <c r="F385" s="7"/>
      <c r="G385" s="7"/>
      <c r="H385" s="10"/>
      <c r="I385" s="19"/>
      <c r="J385" s="10"/>
      <c r="K385" s="10"/>
    </row>
    <row r="386" spans="2:11" ht="14.25" customHeight="1" x14ac:dyDescent="0.3">
      <c r="B386" s="7"/>
      <c r="C386" s="10"/>
      <c r="D386" s="12"/>
      <c r="E386" s="7"/>
      <c r="F386" s="7"/>
      <c r="G386" s="7"/>
      <c r="H386" s="10"/>
      <c r="I386" s="19"/>
      <c r="J386" s="10"/>
      <c r="K386" s="10"/>
    </row>
    <row r="387" spans="2:11" ht="14.25" customHeight="1" x14ac:dyDescent="0.3">
      <c r="B387" s="7"/>
      <c r="C387" s="10"/>
      <c r="D387" s="12"/>
      <c r="E387" s="7"/>
      <c r="F387" s="7"/>
      <c r="G387" s="7"/>
      <c r="H387" s="10"/>
      <c r="I387" s="19"/>
      <c r="J387" s="10"/>
      <c r="K387" s="10"/>
    </row>
    <row r="388" spans="2:11" ht="14.25" customHeight="1" x14ac:dyDescent="0.3">
      <c r="B388" s="7"/>
      <c r="C388" s="10"/>
      <c r="D388" s="12"/>
      <c r="E388" s="7"/>
      <c r="F388" s="7"/>
      <c r="G388" s="7"/>
      <c r="H388" s="10"/>
      <c r="I388" s="19"/>
      <c r="J388" s="10"/>
      <c r="K388" s="10"/>
    </row>
    <row r="389" spans="2:11" ht="14.25" customHeight="1" x14ac:dyDescent="0.3">
      <c r="B389" s="7"/>
      <c r="C389" s="10"/>
      <c r="D389" s="12"/>
      <c r="E389" s="7"/>
      <c r="F389" s="7"/>
      <c r="G389" s="7"/>
      <c r="H389" s="10"/>
      <c r="I389" s="19"/>
      <c r="J389" s="10"/>
      <c r="K389" s="10"/>
    </row>
    <row r="390" spans="2:11" ht="14.25" customHeight="1" x14ac:dyDescent="0.3">
      <c r="B390" s="7"/>
      <c r="C390" s="10"/>
      <c r="D390" s="12"/>
      <c r="E390" s="7"/>
      <c r="F390" s="7"/>
      <c r="G390" s="7"/>
      <c r="H390" s="10"/>
      <c r="I390" s="19"/>
      <c r="J390" s="10"/>
      <c r="K390" s="10"/>
    </row>
    <row r="391" spans="2:11" ht="14.25" customHeight="1" x14ac:dyDescent="0.3">
      <c r="B391" s="7"/>
      <c r="C391" s="10"/>
      <c r="D391" s="12"/>
      <c r="E391" s="7"/>
      <c r="F391" s="7"/>
      <c r="G391" s="7"/>
      <c r="H391" s="10"/>
      <c r="I391" s="19"/>
      <c r="J391" s="10"/>
      <c r="K391" s="10"/>
    </row>
    <row r="392" spans="2:11" ht="14.25" customHeight="1" x14ac:dyDescent="0.3">
      <c r="B392" s="7"/>
      <c r="C392" s="10"/>
      <c r="D392" s="12"/>
      <c r="E392" s="7"/>
      <c r="F392" s="7"/>
      <c r="G392" s="7"/>
      <c r="H392" s="10"/>
      <c r="I392" s="19"/>
      <c r="J392" s="10"/>
      <c r="K392" s="10"/>
    </row>
    <row r="393" spans="2:11" ht="14.25" customHeight="1" x14ac:dyDescent="0.3">
      <c r="B393" s="7"/>
      <c r="C393" s="10"/>
      <c r="D393" s="12"/>
      <c r="E393" s="7"/>
      <c r="F393" s="7"/>
      <c r="G393" s="7"/>
      <c r="H393" s="10"/>
      <c r="I393" s="19"/>
      <c r="J393" s="10"/>
      <c r="K393" s="10"/>
    </row>
    <row r="394" spans="2:11" ht="14.25" customHeight="1" x14ac:dyDescent="0.3">
      <c r="B394" s="7"/>
      <c r="C394" s="10"/>
      <c r="D394" s="12"/>
      <c r="E394" s="7"/>
      <c r="F394" s="7"/>
      <c r="G394" s="7"/>
      <c r="H394" s="10"/>
      <c r="I394" s="19"/>
      <c r="J394" s="10"/>
      <c r="K394" s="10"/>
    </row>
    <row r="395" spans="2:11" ht="14.25" customHeight="1" x14ac:dyDescent="0.3">
      <c r="B395" s="7"/>
      <c r="C395" s="10"/>
      <c r="D395" s="12"/>
      <c r="E395" s="7"/>
      <c r="F395" s="7"/>
      <c r="G395" s="7"/>
      <c r="H395" s="10"/>
      <c r="I395" s="19"/>
      <c r="J395" s="10"/>
      <c r="K395" s="10"/>
    </row>
    <row r="396" spans="2:11" ht="14.25" customHeight="1" x14ac:dyDescent="0.3">
      <c r="B396" s="7"/>
      <c r="C396" s="10"/>
      <c r="D396" s="12"/>
      <c r="E396" s="7"/>
      <c r="F396" s="7"/>
      <c r="G396" s="7"/>
      <c r="H396" s="10"/>
      <c r="I396" s="19"/>
      <c r="J396" s="10"/>
      <c r="K396" s="10"/>
    </row>
    <row r="397" spans="2:11" ht="14.25" customHeight="1" x14ac:dyDescent="0.3">
      <c r="B397" s="7"/>
      <c r="C397" s="10"/>
      <c r="D397" s="12"/>
      <c r="E397" s="7"/>
      <c r="F397" s="7"/>
      <c r="G397" s="7"/>
      <c r="H397" s="10"/>
      <c r="I397" s="19"/>
      <c r="J397" s="10"/>
      <c r="K397" s="10"/>
    </row>
    <row r="398" spans="2:11" ht="14.25" customHeight="1" x14ac:dyDescent="0.3">
      <c r="B398" s="7"/>
      <c r="C398" s="10"/>
      <c r="D398" s="12"/>
      <c r="E398" s="7"/>
      <c r="F398" s="7"/>
      <c r="G398" s="7"/>
      <c r="H398" s="10"/>
      <c r="I398" s="19"/>
      <c r="J398" s="10"/>
      <c r="K398" s="10"/>
    </row>
    <row r="399" spans="2:11" ht="14.25" customHeight="1" x14ac:dyDescent="0.3">
      <c r="B399" s="7"/>
      <c r="C399" s="10"/>
      <c r="D399" s="12"/>
      <c r="E399" s="7"/>
      <c r="F399" s="7"/>
      <c r="G399" s="7"/>
      <c r="H399" s="10"/>
      <c r="I399" s="19"/>
      <c r="J399" s="10"/>
      <c r="K399" s="10"/>
    </row>
    <row r="400" spans="2:11" ht="14.25" customHeight="1" x14ac:dyDescent="0.3">
      <c r="B400" s="7"/>
      <c r="C400" s="10"/>
      <c r="D400" s="12"/>
      <c r="E400" s="7"/>
      <c r="F400" s="7"/>
      <c r="G400" s="7"/>
      <c r="H400" s="10"/>
      <c r="I400" s="19"/>
      <c r="J400" s="10"/>
      <c r="K400" s="10"/>
    </row>
    <row r="401" spans="2:11" ht="14.25" customHeight="1" x14ac:dyDescent="0.3">
      <c r="B401" s="7"/>
      <c r="C401" s="10"/>
      <c r="D401" s="12"/>
      <c r="E401" s="7"/>
      <c r="F401" s="7"/>
      <c r="G401" s="7"/>
      <c r="H401" s="10"/>
      <c r="I401" s="19"/>
      <c r="J401" s="10"/>
      <c r="K401" s="10"/>
    </row>
    <row r="402" spans="2:11" ht="14.25" customHeight="1" x14ac:dyDescent="0.3">
      <c r="B402" s="7"/>
      <c r="C402" s="10"/>
      <c r="D402" s="12"/>
      <c r="E402" s="7"/>
      <c r="F402" s="7"/>
      <c r="G402" s="7"/>
      <c r="H402" s="10"/>
      <c r="I402" s="19"/>
      <c r="J402" s="10"/>
      <c r="K402" s="10"/>
    </row>
    <row r="403" spans="2:11" ht="14.25" customHeight="1" x14ac:dyDescent="0.3">
      <c r="B403" s="7"/>
      <c r="C403" s="10"/>
      <c r="D403" s="12"/>
      <c r="E403" s="7"/>
      <c r="F403" s="7"/>
      <c r="G403" s="7"/>
      <c r="H403" s="10"/>
      <c r="I403" s="19"/>
      <c r="J403" s="10"/>
      <c r="K403" s="10"/>
    </row>
    <row r="404" spans="2:11" ht="14.25" customHeight="1" x14ac:dyDescent="0.3">
      <c r="B404" s="7"/>
      <c r="C404" s="10"/>
      <c r="D404" s="12"/>
      <c r="E404" s="7"/>
      <c r="F404" s="7"/>
      <c r="G404" s="7"/>
      <c r="H404" s="10"/>
      <c r="I404" s="19"/>
      <c r="J404" s="10"/>
      <c r="K404" s="10"/>
    </row>
    <row r="405" spans="2:11" ht="14.25" customHeight="1" x14ac:dyDescent="0.3">
      <c r="B405" s="7"/>
      <c r="C405" s="10"/>
      <c r="D405" s="12"/>
      <c r="E405" s="7"/>
      <c r="F405" s="7"/>
      <c r="G405" s="7"/>
      <c r="H405" s="10"/>
      <c r="I405" s="19"/>
      <c r="J405" s="10"/>
      <c r="K405" s="10"/>
    </row>
    <row r="406" spans="2:11" ht="14.25" customHeight="1" x14ac:dyDescent="0.3">
      <c r="B406" s="7"/>
      <c r="C406" s="10"/>
      <c r="D406" s="12"/>
      <c r="E406" s="7"/>
      <c r="F406" s="7"/>
      <c r="G406" s="7"/>
      <c r="H406" s="10"/>
      <c r="I406" s="19"/>
      <c r="J406" s="10"/>
      <c r="K406" s="10"/>
    </row>
    <row r="407" spans="2:11" ht="14.25" customHeight="1" x14ac:dyDescent="0.3">
      <c r="B407" s="7"/>
      <c r="C407" s="10"/>
      <c r="D407" s="12"/>
      <c r="E407" s="7"/>
      <c r="F407" s="7"/>
      <c r="G407" s="7"/>
      <c r="H407" s="10"/>
      <c r="I407" s="19"/>
      <c r="J407" s="10"/>
      <c r="K407" s="10"/>
    </row>
    <row r="408" spans="2:11" ht="14.25" customHeight="1" x14ac:dyDescent="0.3">
      <c r="B408" s="7"/>
      <c r="C408" s="10"/>
      <c r="D408" s="12"/>
      <c r="E408" s="7"/>
      <c r="F408" s="7"/>
      <c r="G408" s="7"/>
      <c r="H408" s="10"/>
      <c r="I408" s="19"/>
      <c r="J408" s="10"/>
      <c r="K408" s="10"/>
    </row>
    <row r="409" spans="2:11" ht="14.25" customHeight="1" x14ac:dyDescent="0.3">
      <c r="B409" s="7"/>
      <c r="C409" s="10"/>
      <c r="D409" s="12"/>
      <c r="E409" s="7"/>
      <c r="F409" s="7"/>
      <c r="G409" s="7"/>
      <c r="H409" s="10"/>
      <c r="I409" s="19"/>
      <c r="J409" s="10"/>
      <c r="K409" s="10"/>
    </row>
    <row r="410" spans="2:11" ht="14.25" customHeight="1" x14ac:dyDescent="0.3">
      <c r="B410" s="7"/>
      <c r="C410" s="10"/>
      <c r="D410" s="12"/>
      <c r="E410" s="7"/>
      <c r="F410" s="7"/>
      <c r="G410" s="7"/>
      <c r="H410" s="10"/>
      <c r="I410" s="19"/>
      <c r="J410" s="10"/>
      <c r="K410" s="10"/>
    </row>
    <row r="411" spans="2:11" ht="14.25" customHeight="1" x14ac:dyDescent="0.3">
      <c r="B411" s="7"/>
      <c r="C411" s="10"/>
      <c r="D411" s="12"/>
      <c r="E411" s="7"/>
      <c r="F411" s="7"/>
      <c r="G411" s="7"/>
      <c r="H411" s="10"/>
      <c r="I411" s="19"/>
      <c r="J411" s="10"/>
      <c r="K411" s="10"/>
    </row>
    <row r="412" spans="2:11" ht="14.25" customHeight="1" x14ac:dyDescent="0.3">
      <c r="B412" s="7"/>
      <c r="C412" s="10"/>
      <c r="D412" s="12"/>
      <c r="E412" s="7"/>
      <c r="F412" s="7"/>
      <c r="G412" s="7"/>
      <c r="H412" s="10"/>
      <c r="I412" s="19"/>
      <c r="J412" s="10"/>
      <c r="K412" s="10"/>
    </row>
    <row r="413" spans="2:11" ht="14.25" customHeight="1" x14ac:dyDescent="0.3">
      <c r="B413" s="7"/>
      <c r="C413" s="10"/>
      <c r="D413" s="12"/>
      <c r="E413" s="7"/>
      <c r="F413" s="7"/>
      <c r="G413" s="7"/>
      <c r="H413" s="10"/>
      <c r="I413" s="19"/>
      <c r="J413" s="10"/>
      <c r="K413" s="10"/>
    </row>
    <row r="414" spans="2:11" ht="14.25" customHeight="1" x14ac:dyDescent="0.3">
      <c r="B414" s="7"/>
      <c r="C414" s="10"/>
      <c r="D414" s="12"/>
      <c r="E414" s="7"/>
      <c r="F414" s="7"/>
      <c r="G414" s="7"/>
      <c r="H414" s="10"/>
      <c r="I414" s="19"/>
      <c r="J414" s="10"/>
      <c r="K414" s="10"/>
    </row>
    <row r="415" spans="2:11" ht="14.25" customHeight="1" x14ac:dyDescent="0.3">
      <c r="B415" s="7"/>
      <c r="C415" s="10"/>
      <c r="D415" s="12"/>
      <c r="E415" s="7"/>
      <c r="F415" s="7"/>
      <c r="G415" s="7"/>
      <c r="H415" s="10"/>
      <c r="I415" s="19"/>
      <c r="J415" s="10"/>
      <c r="K415" s="10"/>
    </row>
    <row r="416" spans="2:11" ht="14.25" customHeight="1" x14ac:dyDescent="0.3">
      <c r="B416" s="7"/>
      <c r="C416" s="10"/>
      <c r="D416" s="12"/>
      <c r="E416" s="7"/>
      <c r="F416" s="7"/>
      <c r="G416" s="7"/>
      <c r="H416" s="10"/>
      <c r="I416" s="19"/>
      <c r="J416" s="10"/>
      <c r="K416" s="10"/>
    </row>
    <row r="417" spans="2:11" ht="14.25" customHeight="1" x14ac:dyDescent="0.3">
      <c r="B417" s="7"/>
      <c r="C417" s="10"/>
      <c r="D417" s="12"/>
      <c r="E417" s="7"/>
      <c r="F417" s="7"/>
      <c r="G417" s="7"/>
      <c r="H417" s="10"/>
      <c r="I417" s="19"/>
      <c r="J417" s="10"/>
      <c r="K417" s="10"/>
    </row>
    <row r="418" spans="2:11" ht="14.25" customHeight="1" x14ac:dyDescent="0.3">
      <c r="B418" s="7"/>
      <c r="C418" s="10"/>
      <c r="D418" s="12"/>
      <c r="E418" s="7"/>
      <c r="F418" s="7"/>
      <c r="G418" s="7"/>
      <c r="H418" s="10"/>
      <c r="I418" s="19"/>
      <c r="J418" s="10"/>
      <c r="K418" s="10"/>
    </row>
    <row r="419" spans="2:11" ht="14.25" customHeight="1" x14ac:dyDescent="0.3">
      <c r="B419" s="7"/>
      <c r="C419" s="10"/>
      <c r="D419" s="12"/>
      <c r="E419" s="7"/>
      <c r="F419" s="7"/>
      <c r="G419" s="7"/>
      <c r="H419" s="10"/>
      <c r="I419" s="19"/>
      <c r="J419" s="10"/>
      <c r="K419" s="10"/>
    </row>
    <row r="420" spans="2:11" ht="14.25" customHeight="1" x14ac:dyDescent="0.3">
      <c r="B420" s="7"/>
      <c r="C420" s="10"/>
      <c r="D420" s="12"/>
      <c r="E420" s="7"/>
      <c r="F420" s="7"/>
      <c r="G420" s="7"/>
      <c r="H420" s="10"/>
      <c r="I420" s="19"/>
      <c r="J420" s="10"/>
      <c r="K420" s="10"/>
    </row>
    <row r="421" spans="2:11" ht="14.25" customHeight="1" x14ac:dyDescent="0.3">
      <c r="B421" s="7"/>
      <c r="C421" s="10"/>
      <c r="D421" s="12"/>
      <c r="E421" s="7"/>
      <c r="F421" s="7"/>
      <c r="G421" s="7"/>
      <c r="H421" s="10"/>
      <c r="I421" s="19"/>
      <c r="J421" s="10"/>
      <c r="K421" s="10"/>
    </row>
    <row r="422" spans="2:11" ht="14.25" customHeight="1" x14ac:dyDescent="0.3">
      <c r="B422" s="7"/>
      <c r="C422" s="10"/>
      <c r="D422" s="12"/>
      <c r="E422" s="7"/>
      <c r="F422" s="7"/>
      <c r="G422" s="7"/>
      <c r="H422" s="10"/>
      <c r="I422" s="19"/>
      <c r="J422" s="10"/>
      <c r="K422" s="10"/>
    </row>
    <row r="423" spans="2:11" ht="14.25" customHeight="1" x14ac:dyDescent="0.3">
      <c r="B423" s="7"/>
      <c r="C423" s="10"/>
      <c r="D423" s="12"/>
      <c r="E423" s="7"/>
      <c r="F423" s="7"/>
      <c r="G423" s="7"/>
      <c r="H423" s="10"/>
      <c r="I423" s="19"/>
      <c r="J423" s="10"/>
      <c r="K423" s="10"/>
    </row>
    <row r="424" spans="2:11" ht="14.25" customHeight="1" x14ac:dyDescent="0.3">
      <c r="B424" s="7"/>
      <c r="C424" s="10"/>
      <c r="D424" s="12"/>
      <c r="E424" s="7"/>
      <c r="F424" s="7"/>
      <c r="G424" s="7"/>
      <c r="H424" s="10"/>
      <c r="I424" s="19"/>
      <c r="J424" s="10"/>
      <c r="K424" s="10"/>
    </row>
    <row r="425" spans="2:11" ht="14.25" customHeight="1" x14ac:dyDescent="0.3">
      <c r="B425" s="7"/>
      <c r="C425" s="10"/>
      <c r="D425" s="12"/>
      <c r="E425" s="7"/>
      <c r="F425" s="7"/>
      <c r="G425" s="7"/>
      <c r="H425" s="10"/>
      <c r="I425" s="19"/>
      <c r="J425" s="10"/>
      <c r="K425" s="10"/>
    </row>
    <row r="426" spans="2:11" ht="14.25" customHeight="1" x14ac:dyDescent="0.3">
      <c r="B426" s="7"/>
      <c r="C426" s="10"/>
      <c r="D426" s="12"/>
      <c r="E426" s="7"/>
      <c r="F426" s="7"/>
      <c r="G426" s="7"/>
      <c r="H426" s="10"/>
      <c r="I426" s="19"/>
      <c r="J426" s="10"/>
      <c r="K426" s="10"/>
    </row>
    <row r="427" spans="2:11" ht="14.25" customHeight="1" x14ac:dyDescent="0.3">
      <c r="B427" s="7"/>
      <c r="C427" s="10"/>
      <c r="D427" s="12"/>
      <c r="E427" s="7"/>
      <c r="F427" s="7"/>
      <c r="G427" s="7"/>
      <c r="H427" s="10"/>
      <c r="I427" s="19"/>
      <c r="J427" s="10"/>
      <c r="K427" s="10"/>
    </row>
    <row r="428" spans="2:11" ht="14.25" customHeight="1" x14ac:dyDescent="0.3">
      <c r="B428" s="7"/>
      <c r="C428" s="10"/>
      <c r="D428" s="12"/>
      <c r="E428" s="7"/>
      <c r="F428" s="7"/>
      <c r="G428" s="7"/>
      <c r="H428" s="10"/>
      <c r="I428" s="19"/>
      <c r="J428" s="10"/>
      <c r="K428" s="10"/>
    </row>
    <row r="429" spans="2:11" ht="14.25" customHeight="1" x14ac:dyDescent="0.3">
      <c r="B429" s="7"/>
      <c r="C429" s="10"/>
      <c r="D429" s="12"/>
      <c r="E429" s="7"/>
      <c r="F429" s="7"/>
      <c r="G429" s="7"/>
      <c r="H429" s="10"/>
      <c r="I429" s="19"/>
      <c r="J429" s="10"/>
      <c r="K429" s="10"/>
    </row>
    <row r="430" spans="2:11" ht="14.25" customHeight="1" x14ac:dyDescent="0.3">
      <c r="B430" s="7"/>
      <c r="C430" s="10"/>
      <c r="D430" s="12"/>
      <c r="E430" s="7"/>
      <c r="F430" s="7"/>
      <c r="G430" s="7"/>
      <c r="H430" s="10"/>
      <c r="I430" s="19"/>
      <c r="J430" s="10"/>
      <c r="K430" s="10"/>
    </row>
    <row r="431" spans="2:11" ht="14.25" customHeight="1" x14ac:dyDescent="0.3">
      <c r="B431" s="7"/>
      <c r="C431" s="10"/>
      <c r="D431" s="12"/>
      <c r="E431" s="7"/>
      <c r="F431" s="7"/>
      <c r="G431" s="7"/>
      <c r="H431" s="10"/>
      <c r="I431" s="19"/>
      <c r="J431" s="10"/>
      <c r="K431" s="10"/>
    </row>
    <row r="432" spans="2:11" ht="14.25" customHeight="1" x14ac:dyDescent="0.3">
      <c r="B432" s="7"/>
      <c r="C432" s="10"/>
      <c r="D432" s="12"/>
      <c r="E432" s="7"/>
      <c r="F432" s="7"/>
      <c r="G432" s="7"/>
      <c r="H432" s="10"/>
      <c r="I432" s="19"/>
      <c r="J432" s="10"/>
      <c r="K432" s="10"/>
    </row>
    <row r="433" spans="2:11" ht="14.25" customHeight="1" x14ac:dyDescent="0.3">
      <c r="B433" s="7"/>
      <c r="C433" s="10"/>
      <c r="D433" s="12"/>
      <c r="E433" s="7"/>
      <c r="F433" s="7"/>
      <c r="G433" s="7"/>
      <c r="H433" s="10"/>
      <c r="I433" s="19"/>
      <c r="J433" s="10"/>
      <c r="K433" s="10"/>
    </row>
    <row r="434" spans="2:11" ht="14.25" customHeight="1" x14ac:dyDescent="0.3">
      <c r="B434" s="7"/>
      <c r="C434" s="10"/>
      <c r="D434" s="12"/>
      <c r="E434" s="7"/>
      <c r="F434" s="7"/>
      <c r="G434" s="7"/>
      <c r="H434" s="10"/>
      <c r="I434" s="19"/>
      <c r="J434" s="10"/>
      <c r="K434" s="10"/>
    </row>
    <row r="435" spans="2:11" ht="14.25" customHeight="1" x14ac:dyDescent="0.3">
      <c r="B435" s="7"/>
      <c r="C435" s="10"/>
      <c r="D435" s="12"/>
      <c r="E435" s="7"/>
      <c r="F435" s="7"/>
      <c r="G435" s="7"/>
      <c r="H435" s="10"/>
      <c r="I435" s="19"/>
      <c r="J435" s="10"/>
      <c r="K435" s="10"/>
    </row>
    <row r="436" spans="2:11" ht="14.25" customHeight="1" x14ac:dyDescent="0.3">
      <c r="B436" s="7"/>
      <c r="C436" s="10"/>
      <c r="D436" s="12"/>
      <c r="E436" s="7"/>
      <c r="F436" s="7"/>
      <c r="G436" s="7"/>
      <c r="H436" s="10"/>
      <c r="I436" s="19"/>
      <c r="J436" s="10"/>
      <c r="K436" s="10"/>
    </row>
    <row r="437" spans="2:11" ht="14.25" customHeight="1" x14ac:dyDescent="0.3">
      <c r="B437" s="7"/>
      <c r="C437" s="10"/>
      <c r="D437" s="12"/>
      <c r="E437" s="7"/>
      <c r="F437" s="7"/>
      <c r="G437" s="7"/>
      <c r="H437" s="10"/>
      <c r="I437" s="19"/>
      <c r="J437" s="10"/>
      <c r="K437" s="10"/>
    </row>
    <row r="438" spans="2:11" ht="14.25" customHeight="1" x14ac:dyDescent="0.3">
      <c r="B438" s="7"/>
      <c r="C438" s="10"/>
      <c r="D438" s="12"/>
      <c r="E438" s="7"/>
      <c r="F438" s="7"/>
      <c r="G438" s="7"/>
      <c r="H438" s="10"/>
      <c r="I438" s="19"/>
      <c r="J438" s="10"/>
      <c r="K438" s="10"/>
    </row>
    <row r="439" spans="2:11" ht="14.25" customHeight="1" x14ac:dyDescent="0.3">
      <c r="B439" s="7"/>
      <c r="C439" s="10"/>
      <c r="D439" s="12"/>
      <c r="E439" s="7"/>
      <c r="F439" s="7"/>
      <c r="G439" s="7"/>
      <c r="H439" s="10"/>
      <c r="I439" s="19"/>
      <c r="J439" s="10"/>
      <c r="K439" s="10"/>
    </row>
    <row r="440" spans="2:11" ht="14.25" customHeight="1" x14ac:dyDescent="0.3">
      <c r="B440" s="7"/>
      <c r="C440" s="10"/>
      <c r="D440" s="12"/>
      <c r="E440" s="7"/>
      <c r="F440" s="7"/>
      <c r="G440" s="7"/>
      <c r="H440" s="10"/>
      <c r="I440" s="19"/>
      <c r="J440" s="10"/>
      <c r="K440" s="10"/>
    </row>
    <row r="441" spans="2:11" ht="14.25" customHeight="1" x14ac:dyDescent="0.3">
      <c r="B441" s="7"/>
      <c r="C441" s="10"/>
      <c r="D441" s="12"/>
      <c r="E441" s="7"/>
      <c r="F441" s="7"/>
      <c r="G441" s="7"/>
      <c r="H441" s="10"/>
      <c r="I441" s="19"/>
      <c r="J441" s="10"/>
      <c r="K441" s="10"/>
    </row>
    <row r="442" spans="2:11" ht="14.25" customHeight="1" x14ac:dyDescent="0.3">
      <c r="B442" s="7"/>
      <c r="C442" s="10"/>
      <c r="D442" s="12"/>
      <c r="E442" s="7"/>
      <c r="F442" s="7"/>
      <c r="G442" s="7"/>
      <c r="H442" s="10"/>
      <c r="I442" s="19"/>
      <c r="J442" s="10"/>
      <c r="K442" s="10"/>
    </row>
    <row r="443" spans="2:11" ht="14.25" customHeight="1" x14ac:dyDescent="0.3">
      <c r="B443" s="7"/>
      <c r="C443" s="10"/>
      <c r="D443" s="12"/>
      <c r="E443" s="7"/>
      <c r="F443" s="7"/>
      <c r="G443" s="7"/>
      <c r="H443" s="10"/>
      <c r="I443" s="19"/>
      <c r="J443" s="10"/>
      <c r="K443" s="10"/>
    </row>
    <row r="444" spans="2:11" ht="14.25" customHeight="1" x14ac:dyDescent="0.3">
      <c r="B444" s="7"/>
      <c r="C444" s="10"/>
      <c r="D444" s="12"/>
      <c r="E444" s="7"/>
      <c r="F444" s="7"/>
      <c r="G444" s="7"/>
      <c r="H444" s="10"/>
      <c r="I444" s="19"/>
      <c r="J444" s="10"/>
      <c r="K444" s="10"/>
    </row>
    <row r="445" spans="2:11" ht="14.25" customHeight="1" x14ac:dyDescent="0.3">
      <c r="B445" s="7"/>
      <c r="C445" s="10"/>
      <c r="D445" s="12"/>
      <c r="E445" s="7"/>
      <c r="F445" s="7"/>
      <c r="G445" s="7"/>
      <c r="H445" s="10"/>
      <c r="I445" s="19"/>
      <c r="J445" s="10"/>
      <c r="K445" s="10"/>
    </row>
    <row r="446" spans="2:11" ht="14.25" customHeight="1" x14ac:dyDescent="0.3">
      <c r="B446" s="7"/>
      <c r="C446" s="10"/>
      <c r="D446" s="12"/>
      <c r="E446" s="7"/>
      <c r="F446" s="7"/>
      <c r="G446" s="7"/>
      <c r="H446" s="10"/>
      <c r="I446" s="19"/>
      <c r="J446" s="10"/>
      <c r="K446" s="10"/>
    </row>
    <row r="447" spans="2:11" ht="14.25" customHeight="1" x14ac:dyDescent="0.3">
      <c r="B447" s="7"/>
      <c r="C447" s="10"/>
      <c r="D447" s="12"/>
      <c r="E447" s="7"/>
      <c r="F447" s="7"/>
      <c r="G447" s="7"/>
      <c r="H447" s="10"/>
      <c r="I447" s="19"/>
      <c r="J447" s="10"/>
      <c r="K447" s="10"/>
    </row>
    <row r="448" spans="2:11" ht="14.25" customHeight="1" x14ac:dyDescent="0.3">
      <c r="B448" s="7"/>
      <c r="C448" s="10"/>
      <c r="D448" s="12"/>
      <c r="E448" s="7"/>
      <c r="F448" s="7"/>
      <c r="G448" s="7"/>
      <c r="H448" s="10"/>
      <c r="I448" s="19"/>
      <c r="J448" s="10"/>
      <c r="K448" s="10"/>
    </row>
    <row r="449" spans="2:11" ht="14.25" customHeight="1" x14ac:dyDescent="0.3">
      <c r="B449" s="7"/>
      <c r="C449" s="10"/>
      <c r="D449" s="12"/>
      <c r="E449" s="7"/>
      <c r="F449" s="7"/>
      <c r="G449" s="7"/>
      <c r="H449" s="10"/>
      <c r="I449" s="19"/>
      <c r="J449" s="10"/>
      <c r="K449" s="10"/>
    </row>
    <row r="450" spans="2:11" ht="14.25" customHeight="1" x14ac:dyDescent="0.3">
      <c r="B450" s="7"/>
      <c r="C450" s="10"/>
      <c r="D450" s="12"/>
      <c r="E450" s="7"/>
      <c r="F450" s="7"/>
      <c r="G450" s="7"/>
      <c r="H450" s="10"/>
      <c r="I450" s="19"/>
      <c r="J450" s="10"/>
      <c r="K450" s="10"/>
    </row>
    <row r="451" spans="2:11" ht="14.25" customHeight="1" x14ac:dyDescent="0.3">
      <c r="B451" s="7"/>
      <c r="C451" s="10"/>
      <c r="D451" s="12"/>
      <c r="E451" s="7"/>
      <c r="F451" s="7"/>
      <c r="G451" s="7"/>
      <c r="H451" s="10"/>
      <c r="I451" s="19"/>
      <c r="J451" s="10"/>
      <c r="K451" s="10"/>
    </row>
    <row r="452" spans="2:11" ht="14.25" customHeight="1" x14ac:dyDescent="0.3">
      <c r="B452" s="7"/>
      <c r="C452" s="10"/>
      <c r="D452" s="12"/>
      <c r="E452" s="7"/>
      <c r="F452" s="7"/>
      <c r="G452" s="7"/>
      <c r="H452" s="10"/>
      <c r="I452" s="19"/>
      <c r="J452" s="10"/>
      <c r="K452" s="10"/>
    </row>
    <row r="453" spans="2:11" ht="14.25" customHeight="1" x14ac:dyDescent="0.3">
      <c r="B453" s="7"/>
      <c r="C453" s="10"/>
      <c r="D453" s="12"/>
      <c r="E453" s="7"/>
      <c r="F453" s="7"/>
      <c r="G453" s="7"/>
      <c r="H453" s="10"/>
      <c r="I453" s="19"/>
      <c r="J453" s="10"/>
      <c r="K453" s="10"/>
    </row>
    <row r="454" spans="2:11" ht="14.25" customHeight="1" x14ac:dyDescent="0.3">
      <c r="B454" s="7"/>
      <c r="C454" s="10"/>
      <c r="D454" s="12"/>
      <c r="E454" s="7"/>
      <c r="F454" s="7"/>
      <c r="G454" s="7"/>
      <c r="H454" s="10"/>
      <c r="I454" s="19"/>
      <c r="J454" s="10"/>
      <c r="K454" s="10"/>
    </row>
    <row r="455" spans="2:11" ht="14.25" customHeight="1" x14ac:dyDescent="0.3">
      <c r="B455" s="7"/>
      <c r="C455" s="10"/>
      <c r="D455" s="12"/>
      <c r="E455" s="7"/>
      <c r="F455" s="7"/>
      <c r="G455" s="7"/>
      <c r="H455" s="10"/>
      <c r="I455" s="19"/>
      <c r="J455" s="10"/>
      <c r="K455" s="10"/>
    </row>
    <row r="456" spans="2:11" ht="14.25" customHeight="1" x14ac:dyDescent="0.3">
      <c r="B456" s="7"/>
      <c r="C456" s="10"/>
      <c r="D456" s="12"/>
      <c r="E456" s="7"/>
      <c r="F456" s="7"/>
      <c r="G456" s="7"/>
      <c r="H456" s="10"/>
      <c r="I456" s="19"/>
      <c r="J456" s="10"/>
      <c r="K456" s="10"/>
    </row>
    <row r="457" spans="2:11" ht="14.25" customHeight="1" x14ac:dyDescent="0.3">
      <c r="B457" s="7"/>
      <c r="C457" s="10"/>
      <c r="D457" s="12"/>
      <c r="E457" s="7"/>
      <c r="F457" s="7"/>
      <c r="G457" s="7"/>
      <c r="H457" s="10"/>
      <c r="I457" s="19"/>
      <c r="J457" s="10"/>
      <c r="K457" s="10"/>
    </row>
    <row r="458" spans="2:11" ht="14.25" customHeight="1" x14ac:dyDescent="0.3">
      <c r="B458" s="7"/>
      <c r="C458" s="10"/>
      <c r="D458" s="12"/>
      <c r="E458" s="7"/>
      <c r="F458" s="7"/>
      <c r="G458" s="7"/>
      <c r="H458" s="10"/>
      <c r="I458" s="19"/>
      <c r="J458" s="10"/>
      <c r="K458" s="10"/>
    </row>
    <row r="459" spans="2:11" ht="14.25" customHeight="1" x14ac:dyDescent="0.3">
      <c r="B459" s="7"/>
      <c r="C459" s="10"/>
      <c r="D459" s="12"/>
      <c r="E459" s="7"/>
      <c r="F459" s="7"/>
      <c r="G459" s="7"/>
      <c r="H459" s="10"/>
      <c r="I459" s="19"/>
      <c r="J459" s="10"/>
      <c r="K459" s="10"/>
    </row>
    <row r="460" spans="2:11" ht="14.25" customHeight="1" x14ac:dyDescent="0.3">
      <c r="B460" s="7"/>
      <c r="C460" s="10"/>
      <c r="D460" s="12"/>
      <c r="E460" s="7"/>
      <c r="F460" s="7"/>
      <c r="G460" s="7"/>
      <c r="H460" s="10"/>
      <c r="I460" s="19"/>
      <c r="J460" s="10"/>
      <c r="K460" s="10"/>
    </row>
    <row r="461" spans="2:11" ht="14.25" customHeight="1" x14ac:dyDescent="0.3">
      <c r="B461" s="7"/>
      <c r="C461" s="10"/>
      <c r="D461" s="12"/>
      <c r="E461" s="7"/>
      <c r="F461" s="7"/>
      <c r="G461" s="7"/>
      <c r="H461" s="10"/>
      <c r="I461" s="19"/>
      <c r="J461" s="10"/>
      <c r="K461" s="10"/>
    </row>
    <row r="462" spans="2:11" ht="14.25" customHeight="1" x14ac:dyDescent="0.3">
      <c r="B462" s="7"/>
      <c r="C462" s="10"/>
      <c r="D462" s="12"/>
      <c r="E462" s="7"/>
      <c r="F462" s="7"/>
      <c r="G462" s="7"/>
      <c r="H462" s="10"/>
      <c r="I462" s="19"/>
      <c r="J462" s="10"/>
      <c r="K462" s="10"/>
    </row>
    <row r="463" spans="2:11" ht="14.25" customHeight="1" x14ac:dyDescent="0.3">
      <c r="B463" s="7"/>
      <c r="C463" s="10"/>
      <c r="D463" s="12"/>
      <c r="E463" s="7"/>
      <c r="F463" s="7"/>
      <c r="G463" s="7"/>
      <c r="H463" s="10"/>
      <c r="I463" s="19"/>
      <c r="J463" s="10"/>
      <c r="K463" s="10"/>
    </row>
    <row r="464" spans="2:11" ht="14.25" customHeight="1" x14ac:dyDescent="0.3">
      <c r="B464" s="7"/>
      <c r="C464" s="10"/>
      <c r="D464" s="12"/>
      <c r="E464" s="7"/>
      <c r="F464" s="7"/>
      <c r="G464" s="7"/>
      <c r="H464" s="10"/>
      <c r="I464" s="19"/>
      <c r="J464" s="10"/>
      <c r="K464" s="10"/>
    </row>
    <row r="465" spans="2:11" ht="14.25" customHeight="1" x14ac:dyDescent="0.3">
      <c r="B465" s="7"/>
      <c r="C465" s="10"/>
      <c r="D465" s="12"/>
      <c r="E465" s="7"/>
      <c r="F465" s="7"/>
      <c r="G465" s="7"/>
      <c r="H465" s="10"/>
      <c r="I465" s="19"/>
      <c r="J465" s="10"/>
      <c r="K465" s="10"/>
    </row>
    <row r="466" spans="2:11" ht="14.25" customHeight="1" x14ac:dyDescent="0.3">
      <c r="B466" s="7"/>
      <c r="C466" s="10"/>
      <c r="D466" s="12"/>
      <c r="E466" s="7"/>
      <c r="F466" s="7"/>
      <c r="G466" s="7"/>
      <c r="H466" s="10"/>
      <c r="I466" s="19"/>
      <c r="J466" s="10"/>
      <c r="K466" s="10"/>
    </row>
    <row r="467" spans="2:11" ht="14.25" customHeight="1" x14ac:dyDescent="0.3">
      <c r="B467" s="7"/>
      <c r="C467" s="10"/>
      <c r="D467" s="12"/>
      <c r="E467" s="7"/>
      <c r="F467" s="7"/>
      <c r="G467" s="7"/>
      <c r="H467" s="10"/>
      <c r="I467" s="19"/>
      <c r="J467" s="10"/>
      <c r="K467" s="10"/>
    </row>
    <row r="468" spans="2:11" ht="14.25" customHeight="1" x14ac:dyDescent="0.3">
      <c r="B468" s="7"/>
      <c r="C468" s="10"/>
      <c r="D468" s="12"/>
      <c r="E468" s="7"/>
      <c r="F468" s="7"/>
      <c r="G468" s="7"/>
      <c r="H468" s="10"/>
      <c r="I468" s="19"/>
      <c r="J468" s="10"/>
      <c r="K468" s="10"/>
    </row>
    <row r="469" spans="2:11" ht="14.25" customHeight="1" x14ac:dyDescent="0.3">
      <c r="B469" s="7"/>
      <c r="C469" s="10"/>
      <c r="D469" s="12"/>
      <c r="E469" s="7"/>
      <c r="F469" s="7"/>
      <c r="G469" s="7"/>
      <c r="H469" s="10"/>
      <c r="I469" s="19"/>
      <c r="J469" s="10"/>
      <c r="K469" s="10"/>
    </row>
    <row r="470" spans="2:11" ht="14.25" customHeight="1" x14ac:dyDescent="0.3">
      <c r="B470" s="7"/>
      <c r="C470" s="10"/>
      <c r="D470" s="12"/>
      <c r="E470" s="7"/>
      <c r="F470" s="7"/>
      <c r="G470" s="7"/>
      <c r="H470" s="10"/>
      <c r="I470" s="19"/>
      <c r="J470" s="10"/>
      <c r="K470" s="10"/>
    </row>
    <row r="471" spans="2:11" ht="14.25" customHeight="1" x14ac:dyDescent="0.3">
      <c r="B471" s="7"/>
      <c r="C471" s="10"/>
      <c r="D471" s="12"/>
      <c r="E471" s="7"/>
      <c r="F471" s="7"/>
      <c r="G471" s="7"/>
      <c r="H471" s="10"/>
      <c r="I471" s="19"/>
      <c r="J471" s="10"/>
      <c r="K471" s="10"/>
    </row>
    <row r="472" spans="2:11" ht="14.25" customHeight="1" x14ac:dyDescent="0.3">
      <c r="B472" s="7"/>
      <c r="C472" s="10"/>
      <c r="D472" s="12"/>
      <c r="E472" s="7"/>
      <c r="F472" s="7"/>
      <c r="G472" s="7"/>
      <c r="H472" s="10"/>
      <c r="I472" s="19"/>
      <c r="J472" s="10"/>
      <c r="K472" s="10"/>
    </row>
    <row r="473" spans="2:11" ht="14.25" customHeight="1" x14ac:dyDescent="0.3">
      <c r="B473" s="7"/>
      <c r="C473" s="10"/>
      <c r="D473" s="12"/>
      <c r="E473" s="7"/>
      <c r="F473" s="7"/>
      <c r="G473" s="7"/>
      <c r="H473" s="10"/>
      <c r="I473" s="19"/>
      <c r="J473" s="10"/>
      <c r="K473" s="10"/>
    </row>
    <row r="474" spans="2:11" ht="14.25" customHeight="1" x14ac:dyDescent="0.3">
      <c r="B474" s="7"/>
      <c r="C474" s="10"/>
      <c r="D474" s="12"/>
      <c r="E474" s="7"/>
      <c r="F474" s="7"/>
      <c r="G474" s="7"/>
      <c r="H474" s="10"/>
      <c r="I474" s="19"/>
      <c r="J474" s="10"/>
      <c r="K474" s="10"/>
    </row>
    <row r="475" spans="2:11" ht="14.25" customHeight="1" x14ac:dyDescent="0.3">
      <c r="B475" s="7"/>
      <c r="C475" s="10"/>
      <c r="D475" s="12"/>
      <c r="E475" s="7"/>
      <c r="F475" s="7"/>
      <c r="G475" s="7"/>
      <c r="H475" s="10"/>
      <c r="I475" s="19"/>
      <c r="J475" s="10"/>
      <c r="K475" s="10"/>
    </row>
    <row r="476" spans="2:11" ht="14.25" customHeight="1" x14ac:dyDescent="0.3">
      <c r="B476" s="7"/>
      <c r="C476" s="10"/>
      <c r="D476" s="12"/>
      <c r="E476" s="7"/>
      <c r="F476" s="7"/>
      <c r="G476" s="7"/>
      <c r="H476" s="10"/>
      <c r="I476" s="19"/>
      <c r="J476" s="10"/>
      <c r="K476" s="10"/>
    </row>
    <row r="477" spans="2:11" ht="14.25" customHeight="1" x14ac:dyDescent="0.3">
      <c r="B477" s="7"/>
      <c r="C477" s="10"/>
      <c r="D477" s="12"/>
      <c r="E477" s="7"/>
      <c r="F477" s="7"/>
      <c r="G477" s="7"/>
      <c r="H477" s="10"/>
      <c r="I477" s="19"/>
      <c r="J477" s="10"/>
      <c r="K477" s="10"/>
    </row>
    <row r="478" spans="2:11" ht="14.25" customHeight="1" x14ac:dyDescent="0.3">
      <c r="B478" s="7"/>
      <c r="C478" s="10"/>
      <c r="D478" s="12"/>
      <c r="E478" s="7"/>
      <c r="F478" s="7"/>
      <c r="G478" s="7"/>
      <c r="H478" s="10"/>
      <c r="I478" s="19"/>
      <c r="J478" s="10"/>
      <c r="K478" s="10"/>
    </row>
    <row r="479" spans="2:11" ht="14.25" customHeight="1" x14ac:dyDescent="0.3">
      <c r="B479" s="7"/>
      <c r="C479" s="10"/>
      <c r="D479" s="12"/>
      <c r="E479" s="7"/>
      <c r="F479" s="7"/>
      <c r="G479" s="7"/>
      <c r="H479" s="10"/>
      <c r="I479" s="19"/>
      <c r="J479" s="10"/>
      <c r="K479" s="10"/>
    </row>
    <row r="480" spans="2:11" ht="14.25" customHeight="1" x14ac:dyDescent="0.3">
      <c r="B480" s="7"/>
      <c r="C480" s="10"/>
      <c r="D480" s="12"/>
      <c r="E480" s="7"/>
      <c r="F480" s="7"/>
      <c r="G480" s="7"/>
      <c r="H480" s="10"/>
      <c r="I480" s="19"/>
      <c r="J480" s="10"/>
      <c r="K480" s="10"/>
    </row>
    <row r="481" spans="2:11" ht="14.25" customHeight="1" x14ac:dyDescent="0.3">
      <c r="B481" s="7"/>
      <c r="C481" s="10"/>
      <c r="D481" s="12"/>
      <c r="E481" s="7"/>
      <c r="F481" s="7"/>
      <c r="G481" s="7"/>
      <c r="H481" s="10"/>
      <c r="I481" s="19"/>
      <c r="J481" s="10"/>
      <c r="K481" s="10"/>
    </row>
    <row r="482" spans="2:11" ht="14.25" customHeight="1" x14ac:dyDescent="0.3">
      <c r="B482" s="7"/>
      <c r="C482" s="10"/>
      <c r="D482" s="12"/>
      <c r="E482" s="7"/>
      <c r="F482" s="7"/>
      <c r="G482" s="7"/>
      <c r="H482" s="10"/>
      <c r="I482" s="19"/>
      <c r="J482" s="10"/>
      <c r="K482" s="10"/>
    </row>
    <row r="483" spans="2:11" ht="14.25" customHeight="1" x14ac:dyDescent="0.3">
      <c r="B483" s="7"/>
      <c r="C483" s="10"/>
      <c r="D483" s="12"/>
      <c r="E483" s="7"/>
      <c r="F483" s="7"/>
      <c r="G483" s="7"/>
      <c r="H483" s="10"/>
      <c r="I483" s="19"/>
      <c r="J483" s="10"/>
      <c r="K483" s="10"/>
    </row>
    <row r="484" spans="2:11" ht="14.25" customHeight="1" x14ac:dyDescent="0.3">
      <c r="B484" s="7"/>
      <c r="C484" s="10"/>
      <c r="D484" s="12"/>
      <c r="E484" s="7"/>
      <c r="F484" s="7"/>
      <c r="G484" s="7"/>
      <c r="H484" s="10"/>
      <c r="I484" s="19"/>
      <c r="J484" s="10"/>
      <c r="K484" s="10"/>
    </row>
    <row r="485" spans="2:11" ht="14.25" customHeight="1" x14ac:dyDescent="0.3">
      <c r="B485" s="7"/>
      <c r="C485" s="10"/>
      <c r="D485" s="12"/>
      <c r="E485" s="7"/>
      <c r="F485" s="7"/>
      <c r="G485" s="7"/>
      <c r="H485" s="10"/>
      <c r="I485" s="19"/>
      <c r="J485" s="10"/>
      <c r="K485" s="10"/>
    </row>
    <row r="486" spans="2:11" ht="14.25" customHeight="1" x14ac:dyDescent="0.3">
      <c r="B486" s="7"/>
      <c r="C486" s="10"/>
      <c r="D486" s="12"/>
      <c r="E486" s="7"/>
      <c r="F486" s="7"/>
      <c r="G486" s="7"/>
      <c r="H486" s="10"/>
      <c r="I486" s="19"/>
      <c r="J486" s="10"/>
      <c r="K486" s="10"/>
    </row>
    <row r="487" spans="2:11" ht="14.25" customHeight="1" x14ac:dyDescent="0.3">
      <c r="B487" s="7"/>
      <c r="C487" s="10"/>
      <c r="D487" s="12"/>
      <c r="E487" s="7"/>
      <c r="F487" s="7"/>
      <c r="G487" s="7"/>
      <c r="H487" s="10"/>
      <c r="I487" s="19"/>
      <c r="J487" s="10"/>
      <c r="K487" s="10"/>
    </row>
    <row r="488" spans="2:11" ht="14.25" customHeight="1" x14ac:dyDescent="0.3">
      <c r="B488" s="7"/>
      <c r="C488" s="10"/>
      <c r="D488" s="12"/>
      <c r="E488" s="7"/>
      <c r="F488" s="7"/>
      <c r="G488" s="7"/>
      <c r="H488" s="10"/>
      <c r="I488" s="19"/>
      <c r="J488" s="10"/>
      <c r="K488" s="10"/>
    </row>
    <row r="489" spans="2:11" ht="14.25" customHeight="1" x14ac:dyDescent="0.3">
      <c r="B489" s="7"/>
      <c r="C489" s="10"/>
      <c r="D489" s="12"/>
      <c r="E489" s="7"/>
      <c r="F489" s="7"/>
      <c r="G489" s="7"/>
      <c r="H489" s="10"/>
      <c r="I489" s="19"/>
      <c r="J489" s="10"/>
      <c r="K489" s="10"/>
    </row>
    <row r="490" spans="2:11" ht="14.25" customHeight="1" x14ac:dyDescent="0.3">
      <c r="B490" s="7"/>
      <c r="C490" s="10"/>
      <c r="D490" s="12"/>
      <c r="E490" s="7"/>
      <c r="F490" s="7"/>
      <c r="G490" s="7"/>
      <c r="H490" s="10"/>
      <c r="I490" s="19"/>
      <c r="J490" s="10"/>
      <c r="K490" s="10"/>
    </row>
    <row r="491" spans="2:11" ht="14.25" customHeight="1" x14ac:dyDescent="0.3">
      <c r="B491" s="7"/>
      <c r="C491" s="10"/>
      <c r="D491" s="12"/>
      <c r="E491" s="7"/>
      <c r="F491" s="7"/>
      <c r="G491" s="7"/>
      <c r="H491" s="10"/>
      <c r="I491" s="19"/>
      <c r="J491" s="10"/>
      <c r="K491" s="10"/>
    </row>
    <row r="492" spans="2:11" ht="14.25" customHeight="1" x14ac:dyDescent="0.3">
      <c r="B492" s="7"/>
      <c r="C492" s="10"/>
      <c r="D492" s="12"/>
      <c r="E492" s="7"/>
      <c r="F492" s="7"/>
      <c r="G492" s="7"/>
      <c r="H492" s="10"/>
      <c r="I492" s="19"/>
      <c r="J492" s="10"/>
      <c r="K492" s="10"/>
    </row>
    <row r="493" spans="2:11" ht="14.25" customHeight="1" x14ac:dyDescent="0.3">
      <c r="B493" s="7"/>
      <c r="C493" s="10"/>
      <c r="D493" s="12"/>
      <c r="E493" s="7"/>
      <c r="F493" s="7"/>
      <c r="G493" s="7"/>
      <c r="H493" s="10"/>
      <c r="I493" s="19"/>
      <c r="J493" s="10"/>
      <c r="K493" s="10"/>
    </row>
    <row r="494" spans="2:11" ht="14.25" customHeight="1" x14ac:dyDescent="0.3">
      <c r="B494" s="7"/>
      <c r="C494" s="10"/>
      <c r="D494" s="12"/>
      <c r="E494" s="7"/>
      <c r="F494" s="7"/>
      <c r="G494" s="7"/>
      <c r="H494" s="10"/>
      <c r="I494" s="19"/>
      <c r="J494" s="10"/>
      <c r="K494" s="10"/>
    </row>
    <row r="495" spans="2:11" ht="14.25" customHeight="1" x14ac:dyDescent="0.3">
      <c r="B495" s="7"/>
      <c r="C495" s="10"/>
      <c r="D495" s="12"/>
      <c r="E495" s="7"/>
      <c r="F495" s="7"/>
      <c r="G495" s="7"/>
      <c r="H495" s="10"/>
      <c r="I495" s="19"/>
      <c r="J495" s="10"/>
      <c r="K495" s="10"/>
    </row>
    <row r="496" spans="2:11" ht="14.25" customHeight="1" x14ac:dyDescent="0.3">
      <c r="B496" s="7"/>
      <c r="C496" s="10"/>
      <c r="D496" s="12"/>
      <c r="E496" s="7"/>
      <c r="F496" s="7"/>
      <c r="G496" s="7"/>
      <c r="H496" s="10"/>
      <c r="I496" s="19"/>
      <c r="J496" s="10"/>
      <c r="K496" s="10"/>
    </row>
    <row r="497" spans="2:11" ht="14.25" customHeight="1" x14ac:dyDescent="0.3">
      <c r="B497" s="7"/>
      <c r="C497" s="10"/>
      <c r="D497" s="12"/>
      <c r="E497" s="7"/>
      <c r="F497" s="7"/>
      <c r="G497" s="7"/>
      <c r="H497" s="10"/>
      <c r="I497" s="19"/>
      <c r="J497" s="10"/>
      <c r="K497" s="10"/>
    </row>
    <row r="498" spans="2:11" ht="14.25" customHeight="1" x14ac:dyDescent="0.3">
      <c r="B498" s="7"/>
      <c r="C498" s="10"/>
      <c r="D498" s="12"/>
      <c r="E498" s="7"/>
      <c r="F498" s="7"/>
      <c r="G498" s="7"/>
      <c r="H498" s="10"/>
      <c r="I498" s="19"/>
      <c r="J498" s="10"/>
      <c r="K498" s="10"/>
    </row>
    <row r="499" spans="2:11" ht="14.25" customHeight="1" x14ac:dyDescent="0.3">
      <c r="B499" s="7"/>
      <c r="C499" s="10"/>
      <c r="D499" s="12"/>
      <c r="E499" s="7"/>
      <c r="F499" s="7"/>
      <c r="G499" s="7"/>
      <c r="H499" s="10"/>
      <c r="I499" s="19"/>
      <c r="J499" s="10"/>
      <c r="K499" s="10"/>
    </row>
    <row r="500" spans="2:11" ht="14.25" customHeight="1" x14ac:dyDescent="0.3">
      <c r="B500" s="7"/>
      <c r="C500" s="10"/>
      <c r="D500" s="12"/>
      <c r="E500" s="7"/>
      <c r="F500" s="7"/>
      <c r="G500" s="7"/>
      <c r="H500" s="10"/>
      <c r="I500" s="19"/>
      <c r="J500" s="10"/>
      <c r="K500" s="10"/>
    </row>
    <row r="501" spans="2:11" ht="14.25" customHeight="1" x14ac:dyDescent="0.3">
      <c r="B501" s="7"/>
      <c r="C501" s="10"/>
      <c r="D501" s="12"/>
      <c r="E501" s="7"/>
      <c r="F501" s="7"/>
      <c r="G501" s="7"/>
      <c r="H501" s="10"/>
      <c r="I501" s="19"/>
      <c r="J501" s="10"/>
      <c r="K501" s="10"/>
    </row>
    <row r="502" spans="2:11" ht="14.25" customHeight="1" x14ac:dyDescent="0.3">
      <c r="B502" s="7"/>
      <c r="C502" s="10"/>
      <c r="D502" s="12"/>
      <c r="E502" s="7"/>
      <c r="F502" s="7"/>
      <c r="G502" s="7"/>
      <c r="H502" s="10"/>
      <c r="I502" s="19"/>
      <c r="J502" s="10"/>
      <c r="K502" s="10"/>
    </row>
    <row r="503" spans="2:11" ht="14.25" customHeight="1" x14ac:dyDescent="0.3">
      <c r="B503" s="7"/>
      <c r="C503" s="10"/>
      <c r="D503" s="12"/>
      <c r="E503" s="7"/>
      <c r="F503" s="7"/>
      <c r="G503" s="7"/>
      <c r="H503" s="10"/>
      <c r="I503" s="19"/>
      <c r="J503" s="10"/>
      <c r="K503" s="10"/>
    </row>
    <row r="504" spans="2:11" ht="14.25" customHeight="1" x14ac:dyDescent="0.3">
      <c r="B504" s="7"/>
      <c r="C504" s="10"/>
      <c r="D504" s="12"/>
      <c r="E504" s="7"/>
      <c r="F504" s="7"/>
      <c r="G504" s="7"/>
      <c r="H504" s="10"/>
      <c r="I504" s="19"/>
      <c r="J504" s="10"/>
      <c r="K504" s="10"/>
    </row>
    <row r="505" spans="2:11" ht="14.25" customHeight="1" x14ac:dyDescent="0.3">
      <c r="B505" s="7"/>
      <c r="C505" s="10"/>
      <c r="D505" s="12"/>
      <c r="E505" s="7"/>
      <c r="F505" s="7"/>
      <c r="G505" s="7"/>
      <c r="H505" s="10"/>
      <c r="I505" s="19"/>
      <c r="J505" s="10"/>
      <c r="K505" s="10"/>
    </row>
    <row r="506" spans="2:11" ht="14.25" customHeight="1" x14ac:dyDescent="0.3">
      <c r="B506" s="7"/>
      <c r="C506" s="10"/>
      <c r="D506" s="12"/>
      <c r="E506" s="7"/>
      <c r="F506" s="7"/>
      <c r="G506" s="7"/>
      <c r="H506" s="10"/>
      <c r="I506" s="19"/>
      <c r="J506" s="10"/>
      <c r="K506" s="10"/>
    </row>
    <row r="507" spans="2:11" ht="14.25" customHeight="1" x14ac:dyDescent="0.3">
      <c r="B507" s="7"/>
      <c r="C507" s="10"/>
      <c r="D507" s="12"/>
      <c r="E507" s="7"/>
      <c r="F507" s="7"/>
      <c r="G507" s="7"/>
      <c r="H507" s="10"/>
      <c r="I507" s="19"/>
      <c r="J507" s="10"/>
      <c r="K507" s="10"/>
    </row>
    <row r="508" spans="2:11" ht="14.25" customHeight="1" x14ac:dyDescent="0.3">
      <c r="B508" s="7"/>
      <c r="C508" s="10"/>
      <c r="D508" s="12"/>
      <c r="E508" s="7"/>
      <c r="F508" s="7"/>
      <c r="G508" s="7"/>
      <c r="H508" s="10"/>
      <c r="I508" s="19"/>
      <c r="J508" s="10"/>
      <c r="K508" s="10"/>
    </row>
    <row r="509" spans="2:11" ht="14.25" customHeight="1" x14ac:dyDescent="0.3">
      <c r="B509" s="7"/>
      <c r="C509" s="10"/>
      <c r="D509" s="12"/>
      <c r="E509" s="7"/>
      <c r="F509" s="7"/>
      <c r="G509" s="7"/>
      <c r="H509" s="10"/>
      <c r="I509" s="19"/>
      <c r="J509" s="10"/>
      <c r="K509" s="10"/>
    </row>
    <row r="510" spans="2:11" ht="14.25" customHeight="1" x14ac:dyDescent="0.3">
      <c r="B510" s="7"/>
      <c r="C510" s="10"/>
      <c r="D510" s="12"/>
      <c r="E510" s="7"/>
      <c r="F510" s="7"/>
      <c r="G510" s="7"/>
      <c r="H510" s="10"/>
      <c r="I510" s="19"/>
      <c r="J510" s="10"/>
      <c r="K510" s="10"/>
    </row>
    <row r="511" spans="2:11" ht="14.25" customHeight="1" x14ac:dyDescent="0.3">
      <c r="B511" s="7"/>
      <c r="C511" s="10"/>
      <c r="D511" s="12"/>
      <c r="E511" s="7"/>
      <c r="F511" s="7"/>
      <c r="G511" s="7"/>
      <c r="H511" s="10"/>
      <c r="I511" s="19"/>
      <c r="J511" s="10"/>
      <c r="K511" s="10"/>
    </row>
    <row r="512" spans="2:11" ht="14.25" customHeight="1" x14ac:dyDescent="0.3">
      <c r="B512" s="7"/>
      <c r="C512" s="10"/>
      <c r="D512" s="12"/>
      <c r="E512" s="7"/>
      <c r="F512" s="7"/>
      <c r="G512" s="7"/>
      <c r="H512" s="10"/>
      <c r="I512" s="19"/>
      <c r="J512" s="10"/>
      <c r="K512" s="10"/>
    </row>
    <row r="513" spans="2:11" ht="14.25" customHeight="1" x14ac:dyDescent="0.3">
      <c r="B513" s="7"/>
      <c r="C513" s="10"/>
      <c r="D513" s="12"/>
      <c r="E513" s="7"/>
      <c r="F513" s="7"/>
      <c r="G513" s="7"/>
      <c r="H513" s="10"/>
      <c r="I513" s="19"/>
      <c r="J513" s="10"/>
      <c r="K513" s="10"/>
    </row>
    <row r="514" spans="2:11" ht="14.25" customHeight="1" x14ac:dyDescent="0.3">
      <c r="B514" s="7"/>
      <c r="C514" s="10"/>
      <c r="D514" s="12"/>
      <c r="E514" s="7"/>
      <c r="F514" s="7"/>
      <c r="G514" s="7"/>
      <c r="H514" s="10"/>
      <c r="I514" s="19"/>
      <c r="J514" s="10"/>
      <c r="K514" s="10"/>
    </row>
    <row r="515" spans="2:11" ht="14.25" customHeight="1" x14ac:dyDescent="0.3">
      <c r="B515" s="7"/>
      <c r="C515" s="10"/>
      <c r="D515" s="12"/>
      <c r="E515" s="7"/>
      <c r="F515" s="7"/>
      <c r="G515" s="7"/>
      <c r="H515" s="10"/>
      <c r="I515" s="19"/>
      <c r="J515" s="10"/>
      <c r="K515" s="10"/>
    </row>
    <row r="516" spans="2:11" ht="14.25" customHeight="1" x14ac:dyDescent="0.3">
      <c r="B516" s="7"/>
      <c r="C516" s="10"/>
      <c r="D516" s="12"/>
      <c r="E516" s="7"/>
      <c r="F516" s="7"/>
      <c r="G516" s="7"/>
      <c r="H516" s="10"/>
      <c r="I516" s="19"/>
      <c r="J516" s="10"/>
      <c r="K516" s="10"/>
    </row>
    <row r="517" spans="2:11" ht="14.25" customHeight="1" x14ac:dyDescent="0.3">
      <c r="B517" s="7"/>
      <c r="C517" s="10"/>
      <c r="D517" s="12"/>
      <c r="E517" s="7"/>
      <c r="F517" s="7"/>
      <c r="G517" s="7"/>
      <c r="H517" s="10"/>
      <c r="I517" s="19"/>
      <c r="J517" s="10"/>
      <c r="K517" s="10"/>
    </row>
    <row r="518" spans="2:11" ht="14.25" customHeight="1" x14ac:dyDescent="0.3">
      <c r="B518" s="7"/>
      <c r="C518" s="10"/>
      <c r="D518" s="12"/>
      <c r="E518" s="7"/>
      <c r="F518" s="7"/>
      <c r="G518" s="7"/>
      <c r="H518" s="10"/>
      <c r="I518" s="19"/>
      <c r="J518" s="10"/>
      <c r="K518" s="10"/>
    </row>
    <row r="519" spans="2:11" ht="14.25" customHeight="1" x14ac:dyDescent="0.3">
      <c r="B519" s="7"/>
      <c r="C519" s="10"/>
      <c r="D519" s="12"/>
      <c r="E519" s="7"/>
      <c r="F519" s="7"/>
      <c r="G519" s="7"/>
      <c r="H519" s="10"/>
      <c r="I519" s="19"/>
      <c r="J519" s="10"/>
      <c r="K519" s="10"/>
    </row>
    <row r="520" spans="2:11" ht="14.25" customHeight="1" x14ac:dyDescent="0.3">
      <c r="B520" s="7"/>
      <c r="C520" s="10"/>
      <c r="D520" s="12"/>
      <c r="E520" s="7"/>
      <c r="F520" s="7"/>
      <c r="G520" s="7"/>
      <c r="H520" s="10"/>
      <c r="I520" s="19"/>
      <c r="J520" s="10"/>
      <c r="K520" s="10"/>
    </row>
    <row r="521" spans="2:11" ht="14.25" customHeight="1" x14ac:dyDescent="0.3">
      <c r="B521" s="7"/>
      <c r="C521" s="10"/>
      <c r="D521" s="12"/>
      <c r="E521" s="7"/>
      <c r="F521" s="7"/>
      <c r="G521" s="7"/>
      <c r="H521" s="10"/>
      <c r="I521" s="19"/>
      <c r="J521" s="10"/>
      <c r="K521" s="10"/>
    </row>
    <row r="522" spans="2:11" ht="14.25" customHeight="1" x14ac:dyDescent="0.3">
      <c r="B522" s="7"/>
      <c r="C522" s="10"/>
      <c r="D522" s="12"/>
      <c r="E522" s="7"/>
      <c r="F522" s="7"/>
      <c r="G522" s="7"/>
      <c r="H522" s="10"/>
      <c r="I522" s="19"/>
      <c r="J522" s="10"/>
      <c r="K522" s="10"/>
    </row>
    <row r="523" spans="2:11" ht="14.25" customHeight="1" x14ac:dyDescent="0.3">
      <c r="B523" s="7"/>
      <c r="C523" s="10"/>
      <c r="D523" s="12"/>
      <c r="E523" s="7"/>
      <c r="F523" s="7"/>
      <c r="G523" s="7"/>
      <c r="H523" s="10"/>
      <c r="I523" s="19"/>
      <c r="J523" s="10"/>
      <c r="K523" s="10"/>
    </row>
    <row r="524" spans="2:11" ht="14.25" customHeight="1" x14ac:dyDescent="0.3">
      <c r="B524" s="7"/>
      <c r="C524" s="10"/>
      <c r="D524" s="12"/>
      <c r="E524" s="7"/>
      <c r="F524" s="7"/>
      <c r="G524" s="7"/>
      <c r="H524" s="10"/>
      <c r="I524" s="19"/>
      <c r="J524" s="10"/>
      <c r="K524" s="10"/>
    </row>
    <row r="525" spans="2:11" ht="14.25" customHeight="1" x14ac:dyDescent="0.3">
      <c r="B525" s="7"/>
      <c r="C525" s="10"/>
      <c r="D525" s="12"/>
      <c r="E525" s="7"/>
      <c r="F525" s="7"/>
      <c r="G525" s="7"/>
      <c r="H525" s="10"/>
      <c r="I525" s="19"/>
      <c r="J525" s="10"/>
      <c r="K525" s="10"/>
    </row>
    <row r="526" spans="2:11" ht="14.25" customHeight="1" x14ac:dyDescent="0.3">
      <c r="B526" s="7"/>
      <c r="C526" s="10"/>
      <c r="D526" s="12"/>
      <c r="E526" s="7"/>
      <c r="F526" s="7"/>
      <c r="G526" s="7"/>
      <c r="H526" s="10"/>
      <c r="I526" s="19"/>
      <c r="J526" s="10"/>
      <c r="K526" s="10"/>
    </row>
    <row r="527" spans="2:11" ht="14.25" customHeight="1" x14ac:dyDescent="0.3">
      <c r="B527" s="7"/>
      <c r="C527" s="10"/>
      <c r="D527" s="12"/>
      <c r="E527" s="7"/>
      <c r="F527" s="7"/>
      <c r="G527" s="7"/>
      <c r="H527" s="10"/>
      <c r="I527" s="19"/>
      <c r="J527" s="10"/>
      <c r="K527" s="10"/>
    </row>
    <row r="528" spans="2:11" ht="14.25" customHeight="1" x14ac:dyDescent="0.3">
      <c r="B528" s="7"/>
      <c r="C528" s="10"/>
      <c r="D528" s="12"/>
      <c r="E528" s="7"/>
      <c r="F528" s="7"/>
      <c r="G528" s="7"/>
      <c r="H528" s="10"/>
      <c r="I528" s="19"/>
      <c r="J528" s="10"/>
      <c r="K528" s="10"/>
    </row>
    <row r="529" spans="2:11" ht="14.25" customHeight="1" x14ac:dyDescent="0.3">
      <c r="B529" s="7"/>
      <c r="C529" s="10"/>
      <c r="D529" s="12"/>
      <c r="E529" s="7"/>
      <c r="F529" s="7"/>
      <c r="G529" s="7"/>
      <c r="H529" s="10"/>
      <c r="I529" s="19"/>
      <c r="J529" s="10"/>
      <c r="K529" s="10"/>
    </row>
    <row r="530" spans="2:11" ht="14.25" customHeight="1" x14ac:dyDescent="0.3">
      <c r="B530" s="7"/>
      <c r="C530" s="10"/>
      <c r="D530" s="12"/>
      <c r="E530" s="7"/>
      <c r="F530" s="7"/>
      <c r="G530" s="7"/>
      <c r="H530" s="10"/>
      <c r="I530" s="19"/>
      <c r="J530" s="10"/>
      <c r="K530" s="10"/>
    </row>
    <row r="531" spans="2:11" ht="14.25" customHeight="1" x14ac:dyDescent="0.3">
      <c r="B531" s="7"/>
      <c r="C531" s="10"/>
      <c r="D531" s="12"/>
      <c r="E531" s="7"/>
      <c r="F531" s="7"/>
      <c r="G531" s="7"/>
      <c r="H531" s="10"/>
      <c r="I531" s="19"/>
      <c r="J531" s="10"/>
      <c r="K531" s="10"/>
    </row>
    <row r="532" spans="2:11" ht="14.25" customHeight="1" x14ac:dyDescent="0.3">
      <c r="B532" s="7"/>
      <c r="C532" s="10"/>
      <c r="D532" s="12"/>
      <c r="E532" s="7"/>
      <c r="F532" s="7"/>
      <c r="G532" s="7"/>
      <c r="H532" s="10"/>
      <c r="I532" s="19"/>
      <c r="J532" s="10"/>
      <c r="K532" s="10"/>
    </row>
    <row r="533" spans="2:11" ht="14.25" customHeight="1" x14ac:dyDescent="0.3">
      <c r="B533" s="7"/>
      <c r="C533" s="10"/>
      <c r="D533" s="12"/>
      <c r="E533" s="7"/>
      <c r="F533" s="7"/>
      <c r="G533" s="7"/>
      <c r="H533" s="10"/>
      <c r="I533" s="19"/>
      <c r="J533" s="10"/>
      <c r="K533" s="10"/>
    </row>
    <row r="534" spans="2:11" ht="14.25" customHeight="1" x14ac:dyDescent="0.3">
      <c r="B534" s="7"/>
      <c r="C534" s="10"/>
      <c r="D534" s="12"/>
      <c r="E534" s="7"/>
      <c r="F534" s="7"/>
      <c r="G534" s="7"/>
      <c r="H534" s="10"/>
      <c r="I534" s="19"/>
      <c r="J534" s="10"/>
      <c r="K534" s="10"/>
    </row>
    <row r="535" spans="2:11" ht="14.25" customHeight="1" x14ac:dyDescent="0.3">
      <c r="B535" s="7"/>
      <c r="C535" s="10"/>
      <c r="D535" s="12"/>
      <c r="E535" s="7"/>
      <c r="F535" s="7"/>
      <c r="G535" s="7"/>
      <c r="H535" s="10"/>
      <c r="I535" s="19"/>
      <c r="J535" s="10"/>
      <c r="K535" s="10"/>
    </row>
    <row r="536" spans="2:11" ht="14.25" customHeight="1" x14ac:dyDescent="0.3">
      <c r="B536" s="7"/>
      <c r="C536" s="10"/>
      <c r="D536" s="12"/>
      <c r="E536" s="7"/>
      <c r="F536" s="7"/>
      <c r="G536" s="7"/>
      <c r="H536" s="10"/>
      <c r="I536" s="19"/>
      <c r="J536" s="10"/>
      <c r="K536" s="10"/>
    </row>
    <row r="537" spans="2:11" ht="14.25" customHeight="1" x14ac:dyDescent="0.3">
      <c r="B537" s="7"/>
      <c r="C537" s="10"/>
      <c r="D537" s="12"/>
      <c r="E537" s="7"/>
      <c r="F537" s="7"/>
      <c r="G537" s="7"/>
      <c r="H537" s="10"/>
      <c r="I537" s="19"/>
      <c r="J537" s="10"/>
      <c r="K537" s="10"/>
    </row>
    <row r="538" spans="2:11" ht="14.25" customHeight="1" x14ac:dyDescent="0.3">
      <c r="B538" s="7"/>
      <c r="C538" s="10"/>
      <c r="D538" s="12"/>
      <c r="E538" s="7"/>
      <c r="F538" s="7"/>
      <c r="G538" s="7"/>
      <c r="H538" s="10"/>
      <c r="I538" s="19"/>
      <c r="J538" s="10"/>
      <c r="K538" s="10"/>
    </row>
    <row r="539" spans="2:11" ht="14.25" customHeight="1" x14ac:dyDescent="0.3">
      <c r="B539" s="7"/>
      <c r="C539" s="10"/>
      <c r="D539" s="12"/>
      <c r="E539" s="7"/>
      <c r="F539" s="7"/>
      <c r="G539" s="7"/>
      <c r="H539" s="10"/>
      <c r="I539" s="19"/>
      <c r="J539" s="10"/>
      <c r="K539" s="10"/>
    </row>
    <row r="540" spans="2:11" ht="14.25" customHeight="1" x14ac:dyDescent="0.3">
      <c r="B540" s="7"/>
      <c r="C540" s="10"/>
      <c r="D540" s="12"/>
      <c r="E540" s="7"/>
      <c r="F540" s="7"/>
      <c r="G540" s="7"/>
      <c r="H540" s="10"/>
      <c r="I540" s="19"/>
      <c r="J540" s="10"/>
      <c r="K540" s="10"/>
    </row>
    <row r="541" spans="2:11" ht="14.25" customHeight="1" x14ac:dyDescent="0.3">
      <c r="B541" s="7"/>
      <c r="C541" s="10"/>
      <c r="D541" s="12"/>
      <c r="E541" s="7"/>
      <c r="F541" s="7"/>
      <c r="G541" s="7"/>
      <c r="H541" s="10"/>
      <c r="I541" s="19"/>
      <c r="J541" s="10"/>
      <c r="K541" s="10"/>
    </row>
    <row r="542" spans="2:11" ht="14.25" customHeight="1" x14ac:dyDescent="0.3">
      <c r="B542" s="7"/>
      <c r="C542" s="10"/>
      <c r="D542" s="12"/>
      <c r="E542" s="7"/>
      <c r="F542" s="7"/>
      <c r="G542" s="7"/>
      <c r="H542" s="10"/>
      <c r="I542" s="19"/>
      <c r="J542" s="10"/>
      <c r="K542" s="10"/>
    </row>
    <row r="543" spans="2:11" ht="14.25" customHeight="1" x14ac:dyDescent="0.3">
      <c r="B543" s="7"/>
      <c r="C543" s="10"/>
      <c r="D543" s="12"/>
      <c r="E543" s="7"/>
      <c r="F543" s="7"/>
      <c r="G543" s="7"/>
      <c r="H543" s="10"/>
      <c r="I543" s="19"/>
      <c r="J543" s="10"/>
      <c r="K543" s="10"/>
    </row>
    <row r="544" spans="2:11" ht="14.25" customHeight="1" x14ac:dyDescent="0.3">
      <c r="B544" s="7"/>
      <c r="C544" s="10"/>
      <c r="D544" s="12"/>
      <c r="E544" s="7"/>
      <c r="F544" s="7"/>
      <c r="G544" s="7"/>
      <c r="H544" s="10"/>
      <c r="I544" s="19"/>
      <c r="J544" s="10"/>
      <c r="K544" s="10"/>
    </row>
    <row r="545" spans="2:11" ht="14.25" customHeight="1" x14ac:dyDescent="0.3">
      <c r="B545" s="7"/>
      <c r="C545" s="10"/>
      <c r="D545" s="12"/>
      <c r="E545" s="7"/>
      <c r="F545" s="7"/>
      <c r="G545" s="7"/>
      <c r="H545" s="10"/>
      <c r="I545" s="19"/>
      <c r="J545" s="10"/>
      <c r="K545" s="10"/>
    </row>
    <row r="546" spans="2:11" ht="14.25" customHeight="1" x14ac:dyDescent="0.3">
      <c r="B546" s="7"/>
      <c r="C546" s="10"/>
      <c r="D546" s="12"/>
      <c r="E546" s="7"/>
      <c r="F546" s="7"/>
      <c r="G546" s="7"/>
      <c r="H546" s="10"/>
      <c r="I546" s="19"/>
      <c r="J546" s="10"/>
      <c r="K546" s="10"/>
    </row>
    <row r="547" spans="2:11" ht="14.25" customHeight="1" x14ac:dyDescent="0.3">
      <c r="B547" s="7"/>
      <c r="C547" s="10"/>
      <c r="D547" s="12"/>
      <c r="E547" s="7"/>
      <c r="F547" s="7"/>
      <c r="G547" s="7"/>
      <c r="H547" s="10"/>
      <c r="I547" s="19"/>
      <c r="J547" s="10"/>
      <c r="K547" s="10"/>
    </row>
    <row r="548" spans="2:11" ht="14.25" customHeight="1" x14ac:dyDescent="0.3">
      <c r="B548" s="7"/>
      <c r="C548" s="10"/>
      <c r="D548" s="12"/>
      <c r="E548" s="7"/>
      <c r="F548" s="7"/>
      <c r="G548" s="7"/>
      <c r="H548" s="10"/>
      <c r="I548" s="19"/>
      <c r="J548" s="10"/>
      <c r="K548" s="10"/>
    </row>
    <row r="549" spans="2:11" ht="14.25" customHeight="1" x14ac:dyDescent="0.3">
      <c r="B549" s="7"/>
      <c r="C549" s="10"/>
      <c r="D549" s="12"/>
      <c r="E549" s="7"/>
      <c r="F549" s="7"/>
      <c r="G549" s="7"/>
      <c r="H549" s="10"/>
      <c r="I549" s="19"/>
      <c r="J549" s="10"/>
      <c r="K549" s="10"/>
    </row>
    <row r="550" spans="2:11" ht="14.25" customHeight="1" x14ac:dyDescent="0.3">
      <c r="B550" s="7"/>
      <c r="C550" s="10"/>
      <c r="D550" s="12"/>
      <c r="E550" s="7"/>
      <c r="F550" s="7"/>
      <c r="G550" s="7"/>
      <c r="H550" s="10"/>
      <c r="I550" s="19"/>
      <c r="J550" s="10"/>
      <c r="K550" s="10"/>
    </row>
    <row r="551" spans="2:11" ht="14.25" customHeight="1" x14ac:dyDescent="0.3">
      <c r="B551" s="7"/>
      <c r="C551" s="10"/>
      <c r="D551" s="12"/>
      <c r="E551" s="7"/>
      <c r="F551" s="7"/>
      <c r="G551" s="7"/>
      <c r="H551" s="10"/>
      <c r="I551" s="19"/>
      <c r="J551" s="10"/>
      <c r="K551" s="10"/>
    </row>
    <row r="552" spans="2:11" ht="14.25" customHeight="1" x14ac:dyDescent="0.3">
      <c r="B552" s="7"/>
      <c r="C552" s="10"/>
      <c r="D552" s="12"/>
      <c r="E552" s="7"/>
      <c r="F552" s="7"/>
      <c r="G552" s="7"/>
      <c r="H552" s="10"/>
      <c r="I552" s="19"/>
      <c r="J552" s="10"/>
      <c r="K552" s="10"/>
    </row>
    <row r="553" spans="2:11" ht="14.25" customHeight="1" x14ac:dyDescent="0.3">
      <c r="B553" s="7"/>
      <c r="C553" s="10"/>
      <c r="D553" s="12"/>
      <c r="E553" s="7"/>
      <c r="F553" s="7"/>
      <c r="G553" s="7"/>
      <c r="H553" s="10"/>
      <c r="I553" s="19"/>
      <c r="J553" s="10"/>
      <c r="K553" s="10"/>
    </row>
    <row r="554" spans="2:11" ht="14.25" customHeight="1" x14ac:dyDescent="0.3">
      <c r="B554" s="7"/>
      <c r="C554" s="10"/>
      <c r="D554" s="12"/>
      <c r="E554" s="7"/>
      <c r="F554" s="7"/>
      <c r="G554" s="7"/>
      <c r="H554" s="10"/>
      <c r="I554" s="19"/>
      <c r="J554" s="10"/>
      <c r="K554" s="10"/>
    </row>
    <row r="555" spans="2:11" ht="14.25" customHeight="1" x14ac:dyDescent="0.3">
      <c r="B555" s="7"/>
      <c r="C555" s="10"/>
      <c r="D555" s="12"/>
      <c r="E555" s="7"/>
      <c r="F555" s="7"/>
      <c r="G555" s="7"/>
      <c r="H555" s="10"/>
      <c r="I555" s="19"/>
      <c r="J555" s="10"/>
      <c r="K555" s="10"/>
    </row>
    <row r="556" spans="2:11" ht="14.25" customHeight="1" x14ac:dyDescent="0.3">
      <c r="B556" s="7"/>
      <c r="C556" s="10"/>
      <c r="D556" s="12"/>
      <c r="E556" s="7"/>
      <c r="F556" s="7"/>
      <c r="G556" s="7"/>
      <c r="H556" s="10"/>
      <c r="I556" s="19"/>
      <c r="J556" s="10"/>
      <c r="K556" s="10"/>
    </row>
    <row r="557" spans="2:11" ht="14.25" customHeight="1" x14ac:dyDescent="0.3">
      <c r="B557" s="7"/>
      <c r="C557" s="10"/>
      <c r="D557" s="12"/>
      <c r="E557" s="7"/>
      <c r="F557" s="7"/>
      <c r="G557" s="7"/>
      <c r="H557" s="10"/>
      <c r="I557" s="19"/>
      <c r="J557" s="10"/>
      <c r="K557" s="10"/>
    </row>
    <row r="558" spans="2:11" ht="14.25" customHeight="1" x14ac:dyDescent="0.3">
      <c r="B558" s="7"/>
      <c r="C558" s="10"/>
      <c r="D558" s="12"/>
      <c r="E558" s="7"/>
      <c r="F558" s="7"/>
      <c r="G558" s="7"/>
      <c r="H558" s="10"/>
      <c r="I558" s="19"/>
      <c r="J558" s="10"/>
      <c r="K558" s="10"/>
    </row>
    <row r="559" spans="2:11" ht="14.25" customHeight="1" x14ac:dyDescent="0.3">
      <c r="B559" s="7"/>
      <c r="C559" s="10"/>
      <c r="D559" s="12"/>
      <c r="E559" s="7"/>
      <c r="F559" s="7"/>
      <c r="G559" s="7"/>
      <c r="H559" s="10"/>
      <c r="I559" s="19"/>
      <c r="J559" s="10"/>
      <c r="K559" s="10"/>
    </row>
    <row r="560" spans="2:11" ht="14.25" customHeight="1" x14ac:dyDescent="0.3">
      <c r="B560" s="7"/>
      <c r="C560" s="10"/>
      <c r="D560" s="12"/>
      <c r="E560" s="7"/>
      <c r="F560" s="7"/>
      <c r="G560" s="7"/>
      <c r="H560" s="10"/>
      <c r="I560" s="19"/>
      <c r="J560" s="10"/>
      <c r="K560" s="10"/>
    </row>
    <row r="561" spans="2:11" ht="14.25" customHeight="1" x14ac:dyDescent="0.3">
      <c r="B561" s="7"/>
      <c r="C561" s="10"/>
      <c r="D561" s="12"/>
      <c r="E561" s="7"/>
      <c r="F561" s="7"/>
      <c r="G561" s="7"/>
      <c r="H561" s="10"/>
      <c r="I561" s="19"/>
      <c r="J561" s="10"/>
      <c r="K561" s="10"/>
    </row>
    <row r="562" spans="2:11" ht="14.25" customHeight="1" x14ac:dyDescent="0.3">
      <c r="B562" s="7"/>
      <c r="C562" s="10"/>
      <c r="D562" s="12"/>
      <c r="E562" s="7"/>
      <c r="F562" s="7"/>
      <c r="G562" s="7"/>
      <c r="H562" s="10"/>
      <c r="I562" s="19"/>
      <c r="J562" s="10"/>
      <c r="K562" s="10"/>
    </row>
    <row r="563" spans="2:11" ht="14.25" customHeight="1" x14ac:dyDescent="0.3">
      <c r="B563" s="7"/>
      <c r="C563" s="10"/>
      <c r="D563" s="12"/>
      <c r="E563" s="7"/>
      <c r="F563" s="7"/>
      <c r="G563" s="7"/>
      <c r="H563" s="10"/>
      <c r="I563" s="19"/>
      <c r="J563" s="10"/>
      <c r="K563" s="10"/>
    </row>
    <row r="564" spans="2:11" ht="14.25" customHeight="1" x14ac:dyDescent="0.3">
      <c r="B564" s="7"/>
      <c r="C564" s="10"/>
      <c r="D564" s="12"/>
      <c r="E564" s="7"/>
      <c r="F564" s="7"/>
      <c r="G564" s="7"/>
      <c r="H564" s="10"/>
      <c r="I564" s="19"/>
      <c r="J564" s="10"/>
      <c r="K564" s="10"/>
    </row>
    <row r="565" spans="2:11" ht="14.25" customHeight="1" x14ac:dyDescent="0.3">
      <c r="B565" s="7"/>
      <c r="C565" s="10"/>
      <c r="D565" s="12"/>
      <c r="E565" s="7"/>
      <c r="F565" s="7"/>
      <c r="G565" s="7"/>
      <c r="H565" s="10"/>
      <c r="I565" s="19"/>
      <c r="J565" s="10"/>
      <c r="K565" s="10"/>
    </row>
    <row r="566" spans="2:11" ht="14.25" customHeight="1" x14ac:dyDescent="0.3">
      <c r="B566" s="7"/>
      <c r="C566" s="10"/>
      <c r="D566" s="12"/>
      <c r="E566" s="7"/>
      <c r="F566" s="7"/>
      <c r="G566" s="7"/>
      <c r="H566" s="10"/>
      <c r="I566" s="19"/>
      <c r="J566" s="10"/>
      <c r="K566" s="10"/>
    </row>
    <row r="567" spans="2:11" ht="14.25" customHeight="1" x14ac:dyDescent="0.3">
      <c r="B567" s="7"/>
      <c r="C567" s="10"/>
      <c r="D567" s="12"/>
      <c r="E567" s="7"/>
      <c r="F567" s="7"/>
      <c r="G567" s="7"/>
      <c r="H567" s="10"/>
      <c r="I567" s="19"/>
      <c r="J567" s="10"/>
      <c r="K567" s="10"/>
    </row>
    <row r="568" spans="2:11" ht="14.25" customHeight="1" x14ac:dyDescent="0.3">
      <c r="B568" s="7"/>
      <c r="C568" s="10"/>
      <c r="D568" s="12"/>
      <c r="E568" s="7"/>
      <c r="F568" s="7"/>
      <c r="G568" s="7"/>
      <c r="H568" s="10"/>
      <c r="I568" s="19"/>
      <c r="J568" s="10"/>
      <c r="K568" s="10"/>
    </row>
    <row r="569" spans="2:11" ht="14.25" customHeight="1" x14ac:dyDescent="0.3">
      <c r="B569" s="7"/>
      <c r="C569" s="10"/>
      <c r="D569" s="12"/>
      <c r="E569" s="7"/>
      <c r="F569" s="7"/>
      <c r="G569" s="7"/>
      <c r="H569" s="10"/>
      <c r="I569" s="19"/>
      <c r="J569" s="10"/>
      <c r="K569" s="10"/>
    </row>
    <row r="570" spans="2:11" ht="14.25" customHeight="1" x14ac:dyDescent="0.3">
      <c r="B570" s="7"/>
      <c r="C570" s="10"/>
      <c r="D570" s="12"/>
      <c r="E570" s="7"/>
      <c r="F570" s="7"/>
      <c r="G570" s="7"/>
      <c r="H570" s="10"/>
      <c r="I570" s="19"/>
      <c r="J570" s="10"/>
      <c r="K570" s="10"/>
    </row>
    <row r="571" spans="2:11" ht="14.25" customHeight="1" x14ac:dyDescent="0.3">
      <c r="B571" s="7"/>
      <c r="C571" s="10"/>
      <c r="D571" s="12"/>
      <c r="E571" s="7"/>
      <c r="F571" s="7"/>
      <c r="G571" s="7"/>
      <c r="H571" s="10"/>
      <c r="I571" s="19"/>
      <c r="J571" s="10"/>
      <c r="K571" s="10"/>
    </row>
    <row r="572" spans="2:11" ht="14.25" customHeight="1" x14ac:dyDescent="0.3">
      <c r="B572" s="7"/>
      <c r="C572" s="10"/>
      <c r="D572" s="12"/>
      <c r="E572" s="7"/>
      <c r="F572" s="7"/>
      <c r="G572" s="7"/>
      <c r="H572" s="10"/>
      <c r="I572" s="19"/>
      <c r="J572" s="10"/>
      <c r="K572" s="10"/>
    </row>
    <row r="573" spans="2:11" ht="14.25" customHeight="1" x14ac:dyDescent="0.3">
      <c r="B573" s="7"/>
      <c r="C573" s="10"/>
      <c r="D573" s="12"/>
      <c r="E573" s="7"/>
      <c r="F573" s="7"/>
      <c r="G573" s="7"/>
      <c r="H573" s="10"/>
      <c r="I573" s="19"/>
      <c r="J573" s="10"/>
      <c r="K573" s="10"/>
    </row>
    <row r="574" spans="2:11" ht="14.25" customHeight="1" x14ac:dyDescent="0.3">
      <c r="B574" s="7"/>
      <c r="C574" s="10"/>
      <c r="D574" s="12"/>
      <c r="E574" s="7"/>
      <c r="F574" s="7"/>
      <c r="G574" s="7"/>
      <c r="H574" s="10"/>
      <c r="I574" s="19"/>
      <c r="J574" s="10"/>
      <c r="K574" s="10"/>
    </row>
    <row r="575" spans="2:11" ht="14.25" customHeight="1" x14ac:dyDescent="0.3">
      <c r="B575" s="7"/>
      <c r="C575" s="10"/>
      <c r="D575" s="12"/>
      <c r="E575" s="7"/>
      <c r="F575" s="7"/>
      <c r="G575" s="7"/>
      <c r="H575" s="10"/>
      <c r="I575" s="19"/>
      <c r="J575" s="10"/>
      <c r="K575" s="10"/>
    </row>
    <row r="576" spans="2:11" ht="14.25" customHeight="1" x14ac:dyDescent="0.3">
      <c r="B576" s="7"/>
      <c r="C576" s="10"/>
      <c r="D576" s="12"/>
      <c r="E576" s="7"/>
      <c r="F576" s="7"/>
      <c r="G576" s="7"/>
      <c r="H576" s="10"/>
      <c r="I576" s="19"/>
      <c r="J576" s="10"/>
      <c r="K576" s="10"/>
    </row>
    <row r="577" spans="2:11" ht="14.25" customHeight="1" x14ac:dyDescent="0.3">
      <c r="B577" s="7"/>
      <c r="C577" s="10"/>
      <c r="D577" s="12"/>
      <c r="E577" s="7"/>
      <c r="F577" s="7"/>
      <c r="G577" s="7"/>
      <c r="H577" s="10"/>
      <c r="I577" s="19"/>
      <c r="J577" s="10"/>
      <c r="K577" s="10"/>
    </row>
    <row r="578" spans="2:11" ht="14.25" customHeight="1" x14ac:dyDescent="0.3">
      <c r="B578" s="7"/>
      <c r="C578" s="10"/>
      <c r="D578" s="12"/>
      <c r="E578" s="7"/>
      <c r="F578" s="7"/>
      <c r="G578" s="7"/>
      <c r="H578" s="10"/>
      <c r="I578" s="19"/>
      <c r="J578" s="10"/>
      <c r="K578" s="10"/>
    </row>
    <row r="579" spans="2:11" ht="14.25" customHeight="1" x14ac:dyDescent="0.3">
      <c r="B579" s="7"/>
      <c r="C579" s="10"/>
      <c r="D579" s="12"/>
      <c r="E579" s="7"/>
      <c r="F579" s="7"/>
      <c r="G579" s="7"/>
      <c r="H579" s="10"/>
      <c r="I579" s="19"/>
      <c r="J579" s="10"/>
      <c r="K579" s="10"/>
    </row>
    <row r="580" spans="2:11" ht="14.25" customHeight="1" x14ac:dyDescent="0.3">
      <c r="B580" s="7"/>
      <c r="C580" s="10"/>
      <c r="D580" s="12"/>
      <c r="E580" s="7"/>
      <c r="F580" s="7"/>
      <c r="G580" s="7"/>
      <c r="H580" s="10"/>
      <c r="I580" s="19"/>
      <c r="J580" s="10"/>
      <c r="K580" s="10"/>
    </row>
    <row r="581" spans="2:11" ht="14.25" customHeight="1" x14ac:dyDescent="0.3">
      <c r="B581" s="7"/>
      <c r="C581" s="10"/>
      <c r="D581" s="12"/>
      <c r="E581" s="7"/>
      <c r="F581" s="7"/>
      <c r="G581" s="7"/>
      <c r="H581" s="10"/>
      <c r="I581" s="19"/>
      <c r="J581" s="10"/>
      <c r="K581" s="10"/>
    </row>
    <row r="582" spans="2:11" ht="14.25" customHeight="1" x14ac:dyDescent="0.3">
      <c r="B582" s="7"/>
      <c r="C582" s="10"/>
      <c r="D582" s="12"/>
      <c r="E582" s="7"/>
      <c r="F582" s="7"/>
      <c r="G582" s="7"/>
      <c r="H582" s="10"/>
      <c r="I582" s="19"/>
      <c r="J582" s="10"/>
      <c r="K582" s="10"/>
    </row>
    <row r="583" spans="2:11" ht="14.25" customHeight="1" x14ac:dyDescent="0.3">
      <c r="B583" s="7"/>
      <c r="C583" s="10"/>
      <c r="D583" s="12"/>
      <c r="E583" s="7"/>
      <c r="F583" s="7"/>
      <c r="G583" s="7"/>
      <c r="H583" s="10"/>
      <c r="I583" s="19"/>
      <c r="J583" s="10"/>
      <c r="K583" s="10"/>
    </row>
    <row r="584" spans="2:11" ht="14.25" customHeight="1" x14ac:dyDescent="0.3">
      <c r="B584" s="7"/>
      <c r="C584" s="10"/>
      <c r="D584" s="12"/>
      <c r="E584" s="7"/>
      <c r="F584" s="7"/>
      <c r="G584" s="7"/>
      <c r="H584" s="10"/>
      <c r="I584" s="19"/>
      <c r="J584" s="10"/>
      <c r="K584" s="10"/>
    </row>
    <row r="585" spans="2:11" ht="14.25" customHeight="1" x14ac:dyDescent="0.3">
      <c r="B585" s="7"/>
      <c r="C585" s="10"/>
      <c r="D585" s="12"/>
      <c r="E585" s="7"/>
      <c r="F585" s="7"/>
      <c r="G585" s="7"/>
      <c r="H585" s="10"/>
      <c r="I585" s="19"/>
      <c r="J585" s="10"/>
      <c r="K585" s="10"/>
    </row>
    <row r="586" spans="2:11" ht="14.25" customHeight="1" x14ac:dyDescent="0.3">
      <c r="B586" s="7"/>
      <c r="C586" s="10"/>
      <c r="D586" s="12"/>
      <c r="E586" s="7"/>
      <c r="F586" s="7"/>
      <c r="G586" s="7"/>
      <c r="H586" s="10"/>
      <c r="I586" s="19"/>
      <c r="J586" s="10"/>
      <c r="K586" s="10"/>
    </row>
    <row r="587" spans="2:11" ht="14.25" customHeight="1" x14ac:dyDescent="0.3">
      <c r="B587" s="7"/>
      <c r="C587" s="10"/>
      <c r="D587" s="12"/>
      <c r="E587" s="7"/>
      <c r="F587" s="7"/>
      <c r="G587" s="7"/>
      <c r="H587" s="10"/>
      <c r="I587" s="19"/>
      <c r="J587" s="10"/>
      <c r="K587" s="10"/>
    </row>
    <row r="588" spans="2:11" ht="14.25" customHeight="1" x14ac:dyDescent="0.3">
      <c r="B588" s="7"/>
      <c r="C588" s="10"/>
      <c r="D588" s="12"/>
      <c r="E588" s="7"/>
      <c r="F588" s="7"/>
      <c r="G588" s="7"/>
      <c r="H588" s="10"/>
      <c r="I588" s="19"/>
      <c r="J588" s="10"/>
      <c r="K588" s="10"/>
    </row>
    <row r="589" spans="2:11" ht="14.25" customHeight="1" x14ac:dyDescent="0.3">
      <c r="B589" s="7"/>
      <c r="C589" s="10"/>
      <c r="D589" s="12"/>
      <c r="E589" s="7"/>
      <c r="F589" s="7"/>
      <c r="G589" s="7"/>
      <c r="H589" s="10"/>
      <c r="I589" s="19"/>
      <c r="J589" s="10"/>
      <c r="K589" s="10"/>
    </row>
    <row r="590" spans="2:11" ht="14.25" customHeight="1" x14ac:dyDescent="0.3">
      <c r="B590" s="7"/>
      <c r="C590" s="10"/>
      <c r="D590" s="12"/>
      <c r="E590" s="7"/>
      <c r="F590" s="7"/>
      <c r="G590" s="7"/>
      <c r="H590" s="10"/>
      <c r="I590" s="19"/>
      <c r="J590" s="10"/>
      <c r="K590" s="10"/>
    </row>
    <row r="591" spans="2:11" ht="14.25" customHeight="1" x14ac:dyDescent="0.3">
      <c r="B591" s="7"/>
      <c r="C591" s="10"/>
      <c r="D591" s="12"/>
      <c r="E591" s="7"/>
      <c r="F591" s="7"/>
      <c r="G591" s="7"/>
      <c r="H591" s="10"/>
      <c r="I591" s="19"/>
      <c r="J591" s="10"/>
      <c r="K591" s="10"/>
    </row>
    <row r="592" spans="2:11" ht="14.25" customHeight="1" x14ac:dyDescent="0.3">
      <c r="B592" s="7"/>
      <c r="C592" s="10"/>
      <c r="D592" s="12"/>
      <c r="E592" s="7"/>
      <c r="F592" s="7"/>
      <c r="G592" s="7"/>
      <c r="H592" s="10"/>
      <c r="I592" s="19"/>
      <c r="J592" s="10"/>
      <c r="K592" s="10"/>
    </row>
    <row r="593" spans="2:11" ht="14.25" customHeight="1" x14ac:dyDescent="0.3">
      <c r="B593" s="7"/>
      <c r="C593" s="10"/>
      <c r="D593" s="12"/>
      <c r="E593" s="7"/>
      <c r="F593" s="7"/>
      <c r="G593" s="7"/>
      <c r="H593" s="10"/>
      <c r="I593" s="19"/>
      <c r="J593" s="10"/>
      <c r="K593" s="10"/>
    </row>
    <row r="594" spans="2:11" ht="14.25" customHeight="1" x14ac:dyDescent="0.3">
      <c r="B594" s="7"/>
      <c r="C594" s="10"/>
      <c r="D594" s="12"/>
      <c r="E594" s="7"/>
      <c r="F594" s="7"/>
      <c r="G594" s="7"/>
      <c r="H594" s="10"/>
      <c r="I594" s="19"/>
      <c r="J594" s="10"/>
      <c r="K594" s="10"/>
    </row>
    <row r="595" spans="2:11" ht="14.25" customHeight="1" x14ac:dyDescent="0.3">
      <c r="B595" s="7"/>
      <c r="C595" s="10"/>
      <c r="D595" s="12"/>
      <c r="E595" s="7"/>
      <c r="F595" s="7"/>
      <c r="G595" s="7"/>
      <c r="H595" s="10"/>
      <c r="I595" s="19"/>
      <c r="J595" s="10"/>
      <c r="K595" s="10"/>
    </row>
    <row r="596" spans="2:11" ht="14.25" customHeight="1" x14ac:dyDescent="0.3">
      <c r="B596" s="7"/>
      <c r="C596" s="10"/>
      <c r="D596" s="12"/>
      <c r="E596" s="7"/>
      <c r="F596" s="7"/>
      <c r="G596" s="7"/>
      <c r="H596" s="10"/>
      <c r="I596" s="19"/>
      <c r="J596" s="10"/>
      <c r="K596" s="10"/>
    </row>
    <row r="597" spans="2:11" ht="14.25" customHeight="1" x14ac:dyDescent="0.3">
      <c r="B597" s="7"/>
      <c r="C597" s="10"/>
      <c r="D597" s="12"/>
      <c r="E597" s="7"/>
      <c r="F597" s="7"/>
      <c r="G597" s="7"/>
      <c r="H597" s="10"/>
      <c r="I597" s="19"/>
      <c r="J597" s="10"/>
      <c r="K597" s="10"/>
    </row>
    <row r="598" spans="2:11" ht="14.25" customHeight="1" x14ac:dyDescent="0.3">
      <c r="B598" s="7"/>
      <c r="C598" s="10"/>
      <c r="D598" s="12"/>
      <c r="E598" s="7"/>
      <c r="F598" s="7"/>
      <c r="G598" s="7"/>
      <c r="H598" s="10"/>
      <c r="I598" s="19"/>
      <c r="J598" s="10"/>
      <c r="K598" s="10"/>
    </row>
    <row r="599" spans="2:11" ht="14.25" customHeight="1" x14ac:dyDescent="0.3">
      <c r="B599" s="7"/>
      <c r="C599" s="10"/>
      <c r="D599" s="12"/>
      <c r="E599" s="7"/>
      <c r="F599" s="7"/>
      <c r="G599" s="7"/>
      <c r="H599" s="10"/>
      <c r="I599" s="19"/>
      <c r="J599" s="10"/>
      <c r="K599" s="10"/>
    </row>
    <row r="600" spans="2:11" ht="14.25" customHeight="1" x14ac:dyDescent="0.3">
      <c r="B600" s="7"/>
      <c r="C600" s="10"/>
      <c r="D600" s="12"/>
      <c r="E600" s="7"/>
      <c r="F600" s="7"/>
      <c r="G600" s="7"/>
      <c r="H600" s="10"/>
      <c r="I600" s="19"/>
      <c r="J600" s="10"/>
      <c r="K600" s="10"/>
    </row>
    <row r="601" spans="2:11" ht="14.25" customHeight="1" x14ac:dyDescent="0.3">
      <c r="B601" s="7"/>
      <c r="C601" s="10"/>
      <c r="D601" s="12"/>
      <c r="E601" s="7"/>
      <c r="F601" s="7"/>
      <c r="G601" s="7"/>
      <c r="H601" s="10"/>
      <c r="I601" s="19"/>
      <c r="J601" s="10"/>
      <c r="K601" s="10"/>
    </row>
    <row r="602" spans="2:11" ht="14.25" customHeight="1" x14ac:dyDescent="0.3">
      <c r="B602" s="7"/>
      <c r="C602" s="10"/>
      <c r="D602" s="12"/>
      <c r="E602" s="7"/>
      <c r="F602" s="7"/>
      <c r="G602" s="7"/>
      <c r="H602" s="10"/>
      <c r="I602" s="19"/>
      <c r="J602" s="10"/>
      <c r="K602" s="10"/>
    </row>
    <row r="603" spans="2:11" ht="14.25" customHeight="1" x14ac:dyDescent="0.3">
      <c r="B603" s="7"/>
      <c r="C603" s="10"/>
      <c r="D603" s="12"/>
      <c r="E603" s="7"/>
      <c r="F603" s="7"/>
      <c r="G603" s="7"/>
      <c r="H603" s="10"/>
      <c r="I603" s="19"/>
      <c r="J603" s="10"/>
      <c r="K603" s="10"/>
    </row>
    <row r="604" spans="2:11" ht="14.25" customHeight="1" x14ac:dyDescent="0.3">
      <c r="B604" s="7"/>
      <c r="C604" s="10"/>
      <c r="D604" s="12"/>
      <c r="E604" s="7"/>
      <c r="F604" s="7"/>
      <c r="G604" s="7"/>
      <c r="H604" s="10"/>
      <c r="I604" s="19"/>
      <c r="J604" s="10"/>
      <c r="K604" s="10"/>
    </row>
    <row r="605" spans="2:11" ht="14.25" customHeight="1" x14ac:dyDescent="0.3">
      <c r="B605" s="7"/>
      <c r="C605" s="10"/>
      <c r="D605" s="12"/>
      <c r="E605" s="7"/>
      <c r="F605" s="7"/>
      <c r="G605" s="7"/>
      <c r="H605" s="10"/>
      <c r="I605" s="19"/>
      <c r="J605" s="10"/>
      <c r="K605" s="10"/>
    </row>
    <row r="606" spans="2:11" ht="14.25" customHeight="1" x14ac:dyDescent="0.3">
      <c r="B606" s="7"/>
      <c r="C606" s="10"/>
      <c r="D606" s="12"/>
      <c r="E606" s="7"/>
      <c r="F606" s="7"/>
      <c r="G606" s="7"/>
      <c r="H606" s="10"/>
      <c r="I606" s="19"/>
      <c r="J606" s="10"/>
      <c r="K606" s="10"/>
    </row>
    <row r="607" spans="2:11" ht="14.25" customHeight="1" x14ac:dyDescent="0.3">
      <c r="B607" s="7"/>
      <c r="C607" s="10"/>
      <c r="D607" s="12"/>
      <c r="E607" s="7"/>
      <c r="F607" s="7"/>
      <c r="G607" s="7"/>
      <c r="H607" s="10"/>
      <c r="I607" s="19"/>
      <c r="J607" s="10"/>
      <c r="K607" s="10"/>
    </row>
    <row r="608" spans="2:11" ht="14.25" customHeight="1" x14ac:dyDescent="0.3">
      <c r="B608" s="7"/>
      <c r="C608" s="10"/>
      <c r="D608" s="12"/>
      <c r="E608" s="7"/>
      <c r="F608" s="7"/>
      <c r="G608" s="7"/>
      <c r="H608" s="10"/>
      <c r="I608" s="19"/>
      <c r="J608" s="10"/>
      <c r="K608" s="10"/>
    </row>
    <row r="609" spans="2:11" ht="14.25" customHeight="1" x14ac:dyDescent="0.3">
      <c r="B609" s="7"/>
      <c r="C609" s="10"/>
      <c r="D609" s="12"/>
      <c r="E609" s="7"/>
      <c r="F609" s="7"/>
      <c r="G609" s="7"/>
      <c r="H609" s="10"/>
      <c r="I609" s="19"/>
      <c r="J609" s="10"/>
      <c r="K609" s="10"/>
    </row>
    <row r="610" spans="2:11" ht="14.25" customHeight="1" x14ac:dyDescent="0.3">
      <c r="B610" s="7"/>
      <c r="C610" s="10"/>
      <c r="D610" s="12"/>
      <c r="E610" s="7"/>
      <c r="F610" s="7"/>
      <c r="G610" s="7"/>
      <c r="H610" s="10"/>
      <c r="I610" s="19"/>
      <c r="J610" s="10"/>
      <c r="K610" s="10"/>
    </row>
    <row r="611" spans="2:11" ht="14.25" customHeight="1" x14ac:dyDescent="0.3">
      <c r="B611" s="7"/>
      <c r="C611" s="10"/>
      <c r="D611" s="12"/>
      <c r="E611" s="7"/>
      <c r="F611" s="7"/>
      <c r="G611" s="7"/>
      <c r="H611" s="10"/>
      <c r="I611" s="19"/>
      <c r="J611" s="10"/>
      <c r="K611" s="10"/>
    </row>
    <row r="612" spans="2:11" ht="14.25" customHeight="1" x14ac:dyDescent="0.3">
      <c r="B612" s="7"/>
      <c r="C612" s="10"/>
      <c r="D612" s="12"/>
      <c r="E612" s="7"/>
      <c r="F612" s="7"/>
      <c r="G612" s="7"/>
      <c r="H612" s="10"/>
      <c r="I612" s="19"/>
      <c r="J612" s="10"/>
      <c r="K612" s="10"/>
    </row>
    <row r="613" spans="2:11" ht="14.25" customHeight="1" x14ac:dyDescent="0.3">
      <c r="B613" s="7"/>
      <c r="C613" s="10"/>
      <c r="D613" s="12"/>
      <c r="E613" s="7"/>
      <c r="F613" s="7"/>
      <c r="G613" s="7"/>
      <c r="H613" s="10"/>
      <c r="I613" s="19"/>
      <c r="J613" s="10"/>
      <c r="K613" s="10"/>
    </row>
    <row r="614" spans="2:11" ht="14.25" customHeight="1" x14ac:dyDescent="0.3">
      <c r="B614" s="7"/>
      <c r="C614" s="10"/>
      <c r="D614" s="12"/>
      <c r="E614" s="7"/>
      <c r="F614" s="7"/>
      <c r="G614" s="7"/>
      <c r="H614" s="10"/>
      <c r="I614" s="19"/>
      <c r="J614" s="10"/>
      <c r="K614" s="10"/>
    </row>
    <row r="615" spans="2:11" ht="14.25" customHeight="1" x14ac:dyDescent="0.3">
      <c r="B615" s="7"/>
      <c r="C615" s="10"/>
      <c r="D615" s="12"/>
      <c r="E615" s="7"/>
      <c r="F615" s="7"/>
      <c r="G615" s="7"/>
      <c r="H615" s="10"/>
      <c r="I615" s="19"/>
      <c r="J615" s="10"/>
      <c r="K615" s="10"/>
    </row>
    <row r="616" spans="2:11" ht="14.25" customHeight="1" x14ac:dyDescent="0.3">
      <c r="B616" s="7"/>
      <c r="C616" s="10"/>
      <c r="D616" s="12"/>
      <c r="E616" s="7"/>
      <c r="F616" s="7"/>
      <c r="G616" s="7"/>
      <c r="H616" s="10"/>
      <c r="I616" s="19"/>
      <c r="J616" s="10"/>
      <c r="K616" s="10"/>
    </row>
    <row r="617" spans="2:11" ht="14.25" customHeight="1" x14ac:dyDescent="0.3">
      <c r="B617" s="7"/>
      <c r="C617" s="10"/>
      <c r="D617" s="12"/>
      <c r="E617" s="7"/>
      <c r="F617" s="7"/>
      <c r="G617" s="7"/>
      <c r="H617" s="10"/>
      <c r="I617" s="19"/>
      <c r="J617" s="10"/>
      <c r="K617" s="10"/>
    </row>
    <row r="618" spans="2:11" ht="14.25" customHeight="1" x14ac:dyDescent="0.3">
      <c r="B618" s="7"/>
      <c r="C618" s="10"/>
      <c r="D618" s="12"/>
      <c r="E618" s="7"/>
      <c r="F618" s="7"/>
      <c r="G618" s="7"/>
      <c r="H618" s="10"/>
      <c r="I618" s="19"/>
      <c r="J618" s="10"/>
      <c r="K618" s="10"/>
    </row>
    <row r="619" spans="2:11" ht="14.25" customHeight="1" x14ac:dyDescent="0.3">
      <c r="B619" s="7"/>
      <c r="C619" s="10"/>
      <c r="D619" s="12"/>
      <c r="E619" s="7"/>
      <c r="F619" s="7"/>
      <c r="G619" s="7"/>
      <c r="H619" s="10"/>
      <c r="I619" s="19"/>
      <c r="J619" s="10"/>
      <c r="K619" s="10"/>
    </row>
    <row r="620" spans="2:11" ht="14.25" customHeight="1" x14ac:dyDescent="0.3">
      <c r="B620" s="7"/>
      <c r="C620" s="10"/>
      <c r="D620" s="12"/>
      <c r="E620" s="7"/>
      <c r="F620" s="7"/>
      <c r="G620" s="7"/>
      <c r="H620" s="10"/>
      <c r="I620" s="19"/>
      <c r="J620" s="10"/>
      <c r="K620" s="10"/>
    </row>
    <row r="621" spans="2:11" ht="14.25" customHeight="1" x14ac:dyDescent="0.3">
      <c r="B621" s="7"/>
      <c r="C621" s="10"/>
      <c r="D621" s="12"/>
      <c r="E621" s="7"/>
      <c r="F621" s="7"/>
      <c r="G621" s="7"/>
      <c r="H621" s="10"/>
      <c r="I621" s="19"/>
      <c r="J621" s="10"/>
      <c r="K621" s="10"/>
    </row>
    <row r="622" spans="2:11" ht="14.25" customHeight="1" x14ac:dyDescent="0.3">
      <c r="B622" s="7"/>
      <c r="C622" s="10"/>
      <c r="D622" s="12"/>
      <c r="E622" s="7"/>
      <c r="F622" s="7"/>
      <c r="G622" s="7"/>
      <c r="H622" s="10"/>
      <c r="I622" s="19"/>
      <c r="J622" s="10"/>
      <c r="K622" s="10"/>
    </row>
    <row r="623" spans="2:11" ht="14.25" customHeight="1" x14ac:dyDescent="0.3">
      <c r="B623" s="7"/>
      <c r="C623" s="10"/>
      <c r="D623" s="12"/>
      <c r="E623" s="7"/>
      <c r="F623" s="7"/>
      <c r="G623" s="7"/>
      <c r="H623" s="10"/>
      <c r="I623" s="19"/>
      <c r="J623" s="10"/>
      <c r="K623" s="10"/>
    </row>
    <row r="624" spans="2:11" ht="14.25" customHeight="1" x14ac:dyDescent="0.3">
      <c r="B624" s="7"/>
      <c r="C624" s="10"/>
      <c r="D624" s="12"/>
      <c r="E624" s="7"/>
      <c r="F624" s="7"/>
      <c r="G624" s="7"/>
      <c r="H624" s="10"/>
      <c r="I624" s="19"/>
      <c r="J624" s="10"/>
      <c r="K624" s="10"/>
    </row>
    <row r="625" spans="2:11" ht="14.25" customHeight="1" x14ac:dyDescent="0.3">
      <c r="B625" s="7"/>
      <c r="C625" s="10"/>
      <c r="D625" s="12"/>
      <c r="E625" s="7"/>
      <c r="F625" s="7"/>
      <c r="G625" s="7"/>
      <c r="H625" s="10"/>
      <c r="I625" s="19"/>
      <c r="J625" s="10"/>
      <c r="K625" s="10"/>
    </row>
    <row r="626" spans="2:11" ht="14.25" customHeight="1" x14ac:dyDescent="0.3">
      <c r="B626" s="7"/>
      <c r="C626" s="10"/>
      <c r="D626" s="12"/>
      <c r="E626" s="7"/>
      <c r="F626" s="7"/>
      <c r="G626" s="7"/>
      <c r="H626" s="10"/>
      <c r="I626" s="19"/>
      <c r="J626" s="10"/>
      <c r="K626" s="10"/>
    </row>
    <row r="627" spans="2:11" ht="14.25" customHeight="1" x14ac:dyDescent="0.3">
      <c r="B627" s="7"/>
      <c r="C627" s="10"/>
      <c r="D627" s="12"/>
      <c r="E627" s="7"/>
      <c r="F627" s="7"/>
      <c r="G627" s="7"/>
      <c r="H627" s="10"/>
      <c r="I627" s="19"/>
      <c r="J627" s="10"/>
      <c r="K627" s="10"/>
    </row>
    <row r="628" spans="2:11" ht="14.25" customHeight="1" x14ac:dyDescent="0.3">
      <c r="B628" s="7"/>
      <c r="C628" s="10"/>
      <c r="D628" s="12"/>
      <c r="E628" s="7"/>
      <c r="F628" s="7"/>
      <c r="G628" s="7"/>
      <c r="H628" s="10"/>
      <c r="I628" s="19"/>
      <c r="J628" s="10"/>
      <c r="K628" s="10"/>
    </row>
    <row r="629" spans="2:11" ht="14.25" customHeight="1" x14ac:dyDescent="0.3">
      <c r="B629" s="7"/>
      <c r="C629" s="10"/>
      <c r="D629" s="12"/>
      <c r="E629" s="7"/>
      <c r="F629" s="7"/>
      <c r="G629" s="7"/>
      <c r="H629" s="10"/>
      <c r="I629" s="19"/>
      <c r="J629" s="10"/>
      <c r="K629" s="10"/>
    </row>
    <row r="630" spans="2:11" ht="14.25" customHeight="1" x14ac:dyDescent="0.3">
      <c r="B630" s="7"/>
      <c r="C630" s="10"/>
      <c r="D630" s="12"/>
      <c r="E630" s="7"/>
      <c r="F630" s="7"/>
      <c r="G630" s="7"/>
      <c r="H630" s="10"/>
      <c r="I630" s="19"/>
      <c r="J630" s="10"/>
      <c r="K630" s="10"/>
    </row>
    <row r="631" spans="2:11" ht="14.25" customHeight="1" x14ac:dyDescent="0.3">
      <c r="B631" s="7"/>
      <c r="C631" s="10"/>
      <c r="D631" s="12"/>
      <c r="E631" s="7"/>
      <c r="F631" s="7"/>
      <c r="G631" s="7"/>
      <c r="H631" s="10"/>
      <c r="I631" s="19"/>
      <c r="J631" s="10"/>
      <c r="K631" s="10"/>
    </row>
    <row r="632" spans="2:11" ht="14.25" customHeight="1" x14ac:dyDescent="0.3">
      <c r="B632" s="7"/>
      <c r="C632" s="10"/>
      <c r="D632" s="12"/>
      <c r="E632" s="7"/>
      <c r="F632" s="7"/>
      <c r="G632" s="7"/>
      <c r="H632" s="10"/>
      <c r="I632" s="19"/>
      <c r="J632" s="10"/>
      <c r="K632" s="10"/>
    </row>
    <row r="633" spans="2:11" ht="14.25" customHeight="1" x14ac:dyDescent="0.3">
      <c r="B633" s="7"/>
      <c r="C633" s="10"/>
      <c r="D633" s="12"/>
      <c r="E633" s="7"/>
      <c r="F633" s="7"/>
      <c r="G633" s="7"/>
      <c r="H633" s="10"/>
      <c r="I633" s="19"/>
      <c r="J633" s="10"/>
      <c r="K633" s="10"/>
    </row>
    <row r="634" spans="2:11" ht="14.25" customHeight="1" x14ac:dyDescent="0.3">
      <c r="B634" s="7"/>
      <c r="C634" s="10"/>
      <c r="D634" s="12"/>
      <c r="E634" s="7"/>
      <c r="F634" s="7"/>
      <c r="G634" s="7"/>
      <c r="H634" s="10"/>
      <c r="I634" s="19"/>
      <c r="J634" s="10"/>
      <c r="K634" s="10"/>
    </row>
    <row r="635" spans="2:11" ht="14.25" customHeight="1" x14ac:dyDescent="0.3">
      <c r="B635" s="7"/>
      <c r="C635" s="10"/>
      <c r="D635" s="12"/>
      <c r="E635" s="7"/>
      <c r="F635" s="7"/>
      <c r="G635" s="7"/>
      <c r="H635" s="10"/>
      <c r="I635" s="19"/>
      <c r="J635" s="10"/>
      <c r="K635" s="10"/>
    </row>
    <row r="636" spans="2:11" ht="14.25" customHeight="1" x14ac:dyDescent="0.3">
      <c r="B636" s="7"/>
      <c r="C636" s="10"/>
      <c r="D636" s="12"/>
      <c r="E636" s="7"/>
      <c r="F636" s="7"/>
      <c r="G636" s="7"/>
      <c r="H636" s="10"/>
      <c r="I636" s="19"/>
      <c r="J636" s="10"/>
      <c r="K636" s="10"/>
    </row>
    <row r="637" spans="2:11" ht="14.25" customHeight="1" x14ac:dyDescent="0.3">
      <c r="B637" s="7"/>
      <c r="C637" s="10"/>
      <c r="D637" s="12"/>
      <c r="E637" s="7"/>
      <c r="F637" s="7"/>
      <c r="G637" s="7"/>
      <c r="H637" s="10"/>
      <c r="I637" s="19"/>
      <c r="J637" s="10"/>
      <c r="K637" s="10"/>
    </row>
    <row r="638" spans="2:11" ht="14.25" customHeight="1" x14ac:dyDescent="0.3">
      <c r="B638" s="7"/>
      <c r="C638" s="10"/>
      <c r="D638" s="12"/>
      <c r="E638" s="7"/>
      <c r="F638" s="7"/>
      <c r="G638" s="7"/>
      <c r="H638" s="10"/>
      <c r="I638" s="19"/>
      <c r="J638" s="10"/>
      <c r="K638" s="10"/>
    </row>
    <row r="639" spans="2:11" ht="14.25" customHeight="1" x14ac:dyDescent="0.3">
      <c r="B639" s="7"/>
      <c r="C639" s="10"/>
      <c r="D639" s="12"/>
      <c r="E639" s="7"/>
      <c r="F639" s="7"/>
      <c r="G639" s="7"/>
      <c r="H639" s="10"/>
      <c r="I639" s="19"/>
      <c r="J639" s="10"/>
      <c r="K639" s="10"/>
    </row>
    <row r="640" spans="2:11" ht="14.25" customHeight="1" x14ac:dyDescent="0.3">
      <c r="B640" s="7"/>
      <c r="C640" s="10"/>
      <c r="D640" s="12"/>
      <c r="E640" s="7"/>
      <c r="F640" s="7"/>
      <c r="G640" s="7"/>
      <c r="H640" s="10"/>
      <c r="I640" s="19"/>
      <c r="J640" s="10"/>
      <c r="K640" s="10"/>
    </row>
    <row r="641" spans="2:11" ht="14.25" customHeight="1" x14ac:dyDescent="0.3">
      <c r="B641" s="7"/>
      <c r="C641" s="10"/>
      <c r="D641" s="12"/>
      <c r="E641" s="7"/>
      <c r="F641" s="7"/>
      <c r="G641" s="7"/>
      <c r="H641" s="10"/>
      <c r="I641" s="19"/>
      <c r="J641" s="10"/>
      <c r="K641" s="10"/>
    </row>
    <row r="642" spans="2:11" ht="14.25" customHeight="1" x14ac:dyDescent="0.3">
      <c r="B642" s="7"/>
      <c r="C642" s="10"/>
      <c r="D642" s="12"/>
      <c r="E642" s="7"/>
      <c r="F642" s="7"/>
      <c r="G642" s="7"/>
      <c r="H642" s="10"/>
      <c r="I642" s="19"/>
      <c r="J642" s="10"/>
      <c r="K642" s="10"/>
    </row>
    <row r="643" spans="2:11" ht="14.25" customHeight="1" x14ac:dyDescent="0.3">
      <c r="B643" s="7"/>
      <c r="C643" s="10"/>
      <c r="D643" s="12"/>
      <c r="E643" s="7"/>
      <c r="F643" s="7"/>
      <c r="G643" s="7"/>
      <c r="H643" s="10"/>
      <c r="I643" s="19"/>
      <c r="J643" s="10"/>
      <c r="K643" s="10"/>
    </row>
    <row r="644" spans="2:11" ht="14.25" customHeight="1" x14ac:dyDescent="0.3">
      <c r="B644" s="7"/>
      <c r="C644" s="10"/>
      <c r="D644" s="12"/>
      <c r="E644" s="7"/>
      <c r="F644" s="7"/>
      <c r="G644" s="7"/>
      <c r="H644" s="10"/>
      <c r="I644" s="19"/>
      <c r="J644" s="10"/>
      <c r="K644" s="10"/>
    </row>
    <row r="645" spans="2:11" ht="14.25" customHeight="1" x14ac:dyDescent="0.3">
      <c r="B645" s="7"/>
      <c r="C645" s="10"/>
      <c r="D645" s="12"/>
      <c r="E645" s="7"/>
      <c r="F645" s="7"/>
      <c r="G645" s="7"/>
      <c r="H645" s="10"/>
      <c r="I645" s="19"/>
      <c r="J645" s="10"/>
      <c r="K645" s="10"/>
    </row>
    <row r="646" spans="2:11" ht="14.25" customHeight="1" x14ac:dyDescent="0.3">
      <c r="B646" s="7"/>
      <c r="C646" s="10"/>
      <c r="D646" s="12"/>
      <c r="E646" s="7"/>
      <c r="F646" s="7"/>
      <c r="G646" s="7"/>
      <c r="H646" s="10"/>
      <c r="I646" s="19"/>
      <c r="J646" s="10"/>
      <c r="K646" s="10"/>
    </row>
    <row r="647" spans="2:11" ht="14.25" customHeight="1" x14ac:dyDescent="0.3">
      <c r="B647" s="7"/>
      <c r="C647" s="10"/>
      <c r="D647" s="12"/>
      <c r="E647" s="7"/>
      <c r="F647" s="7"/>
      <c r="G647" s="7"/>
      <c r="H647" s="10"/>
      <c r="I647" s="19"/>
      <c r="J647" s="10"/>
      <c r="K647" s="10"/>
    </row>
    <row r="648" spans="2:11" ht="14.25" customHeight="1" x14ac:dyDescent="0.3">
      <c r="B648" s="7"/>
      <c r="C648" s="10"/>
      <c r="D648" s="12"/>
      <c r="E648" s="7"/>
      <c r="F648" s="7"/>
      <c r="G648" s="7"/>
      <c r="H648" s="10"/>
      <c r="I648" s="19"/>
      <c r="J648" s="10"/>
      <c r="K648" s="10"/>
    </row>
    <row r="649" spans="2:11" ht="14.25" customHeight="1" x14ac:dyDescent="0.3">
      <c r="B649" s="7"/>
      <c r="C649" s="10"/>
      <c r="D649" s="12"/>
      <c r="E649" s="7"/>
      <c r="F649" s="7"/>
      <c r="G649" s="7"/>
      <c r="H649" s="10"/>
      <c r="I649" s="19"/>
      <c r="J649" s="10"/>
      <c r="K649" s="10"/>
    </row>
    <row r="650" spans="2:11" ht="14.25" customHeight="1" x14ac:dyDescent="0.3">
      <c r="B650" s="7"/>
      <c r="C650" s="10"/>
      <c r="D650" s="12"/>
      <c r="E650" s="7"/>
      <c r="F650" s="7"/>
      <c r="G650" s="7"/>
      <c r="H650" s="10"/>
      <c r="I650" s="19"/>
      <c r="J650" s="10"/>
      <c r="K650" s="10"/>
    </row>
    <row r="651" spans="2:11" ht="14.25" customHeight="1" x14ac:dyDescent="0.3">
      <c r="B651" s="7"/>
      <c r="C651" s="10"/>
      <c r="D651" s="12"/>
      <c r="E651" s="7"/>
      <c r="F651" s="7"/>
      <c r="G651" s="7"/>
      <c r="H651" s="10"/>
      <c r="I651" s="19"/>
      <c r="J651" s="10"/>
      <c r="K651" s="10"/>
    </row>
    <row r="652" spans="2:11" ht="14.25" customHeight="1" x14ac:dyDescent="0.3">
      <c r="B652" s="7"/>
      <c r="C652" s="10"/>
      <c r="D652" s="12"/>
      <c r="E652" s="7"/>
      <c r="F652" s="7"/>
      <c r="G652" s="7"/>
      <c r="H652" s="10"/>
      <c r="I652" s="19"/>
      <c r="J652" s="10"/>
      <c r="K652" s="10"/>
    </row>
    <row r="653" spans="2:11" ht="14.25" customHeight="1" x14ac:dyDescent="0.3">
      <c r="B653" s="7"/>
      <c r="C653" s="10"/>
      <c r="D653" s="12"/>
      <c r="E653" s="7"/>
      <c r="F653" s="7"/>
      <c r="G653" s="7"/>
      <c r="H653" s="10"/>
      <c r="I653" s="19"/>
      <c r="J653" s="10"/>
      <c r="K653" s="10"/>
    </row>
    <row r="654" spans="2:11" ht="14.25" customHeight="1" x14ac:dyDescent="0.3">
      <c r="B654" s="7"/>
      <c r="C654" s="10"/>
      <c r="D654" s="12"/>
      <c r="E654" s="7"/>
      <c r="F654" s="7"/>
      <c r="G654" s="7"/>
      <c r="H654" s="10"/>
      <c r="I654" s="19"/>
      <c r="J654" s="10"/>
      <c r="K654" s="10"/>
    </row>
    <row r="655" spans="2:11" ht="14.25" customHeight="1" x14ac:dyDescent="0.3">
      <c r="B655" s="7"/>
      <c r="C655" s="10"/>
      <c r="D655" s="12"/>
      <c r="E655" s="7"/>
      <c r="F655" s="7"/>
      <c r="G655" s="7"/>
      <c r="H655" s="10"/>
      <c r="I655" s="19"/>
      <c r="J655" s="10"/>
      <c r="K655" s="10"/>
    </row>
    <row r="656" spans="2:11" ht="14.25" customHeight="1" x14ac:dyDescent="0.3">
      <c r="B656" s="7"/>
      <c r="C656" s="10"/>
      <c r="D656" s="12"/>
      <c r="E656" s="7"/>
      <c r="F656" s="7"/>
      <c r="G656" s="7"/>
      <c r="H656" s="10"/>
      <c r="I656" s="19"/>
      <c r="J656" s="10"/>
      <c r="K656" s="10"/>
    </row>
    <row r="657" spans="2:11" ht="14.25" customHeight="1" x14ac:dyDescent="0.3">
      <c r="B657" s="7"/>
      <c r="C657" s="10"/>
      <c r="D657" s="12"/>
      <c r="E657" s="7"/>
      <c r="F657" s="7"/>
      <c r="G657" s="7"/>
      <c r="H657" s="10"/>
      <c r="I657" s="19"/>
      <c r="J657" s="10"/>
      <c r="K657" s="10"/>
    </row>
    <row r="658" spans="2:11" ht="14.25" customHeight="1" x14ac:dyDescent="0.3">
      <c r="B658" s="7"/>
      <c r="C658" s="10"/>
      <c r="D658" s="12"/>
      <c r="E658" s="7"/>
      <c r="F658" s="7"/>
      <c r="G658" s="7"/>
      <c r="H658" s="10"/>
      <c r="I658" s="19"/>
      <c r="J658" s="10"/>
      <c r="K658" s="10"/>
    </row>
    <row r="659" spans="2:11" ht="14.25" customHeight="1" x14ac:dyDescent="0.3">
      <c r="B659" s="7"/>
      <c r="C659" s="10"/>
      <c r="D659" s="12"/>
      <c r="E659" s="7"/>
      <c r="F659" s="7"/>
      <c r="G659" s="7"/>
      <c r="H659" s="10"/>
      <c r="I659" s="19"/>
      <c r="J659" s="10"/>
      <c r="K659" s="10"/>
    </row>
    <row r="660" spans="2:11" ht="14.25" customHeight="1" x14ac:dyDescent="0.3">
      <c r="B660" s="7"/>
      <c r="C660" s="10"/>
      <c r="D660" s="12"/>
      <c r="E660" s="7"/>
      <c r="F660" s="7"/>
      <c r="G660" s="7"/>
      <c r="H660" s="10"/>
      <c r="I660" s="19"/>
      <c r="J660" s="10"/>
      <c r="K660" s="10"/>
    </row>
    <row r="661" spans="2:11" ht="14.25" customHeight="1" x14ac:dyDescent="0.3">
      <c r="B661" s="7"/>
      <c r="C661" s="10"/>
      <c r="D661" s="12"/>
      <c r="E661" s="7"/>
      <c r="F661" s="7"/>
      <c r="G661" s="7"/>
      <c r="H661" s="10"/>
      <c r="I661" s="19"/>
      <c r="J661" s="10"/>
      <c r="K661" s="10"/>
    </row>
    <row r="662" spans="2:11" ht="14.25" customHeight="1" x14ac:dyDescent="0.3">
      <c r="B662" s="7"/>
      <c r="C662" s="10"/>
      <c r="D662" s="12"/>
      <c r="E662" s="7"/>
      <c r="F662" s="7"/>
      <c r="G662" s="7"/>
      <c r="H662" s="10"/>
      <c r="I662" s="19"/>
      <c r="J662" s="10"/>
      <c r="K662" s="10"/>
    </row>
    <row r="663" spans="2:11" ht="14.25" customHeight="1" x14ac:dyDescent="0.3">
      <c r="B663" s="7"/>
      <c r="C663" s="10"/>
      <c r="D663" s="12"/>
      <c r="E663" s="7"/>
      <c r="F663" s="7"/>
      <c r="G663" s="7"/>
      <c r="H663" s="10"/>
      <c r="I663" s="19"/>
      <c r="J663" s="10"/>
      <c r="K663" s="10"/>
    </row>
    <row r="664" spans="2:11" ht="14.25" customHeight="1" x14ac:dyDescent="0.3">
      <c r="B664" s="7"/>
      <c r="C664" s="10"/>
      <c r="D664" s="12"/>
      <c r="E664" s="7"/>
      <c r="F664" s="7"/>
      <c r="G664" s="7"/>
      <c r="H664" s="10"/>
      <c r="I664" s="19"/>
      <c r="J664" s="10"/>
      <c r="K664" s="10"/>
    </row>
    <row r="665" spans="2:11" ht="14.25" customHeight="1" x14ac:dyDescent="0.3">
      <c r="B665" s="7"/>
      <c r="C665" s="10"/>
      <c r="D665" s="12"/>
      <c r="E665" s="7"/>
      <c r="F665" s="7"/>
      <c r="G665" s="7"/>
      <c r="H665" s="10"/>
      <c r="I665" s="19"/>
      <c r="J665" s="10"/>
      <c r="K665" s="10"/>
    </row>
    <row r="666" spans="2:11" ht="14.25" customHeight="1" x14ac:dyDescent="0.3">
      <c r="B666" s="7"/>
      <c r="C666" s="10"/>
      <c r="D666" s="12"/>
      <c r="E666" s="7"/>
      <c r="F666" s="7"/>
      <c r="G666" s="7"/>
      <c r="H666" s="10"/>
      <c r="I666" s="19"/>
      <c r="J666" s="10"/>
      <c r="K666" s="10"/>
    </row>
    <row r="667" spans="2:11" ht="14.25" customHeight="1" x14ac:dyDescent="0.3">
      <c r="B667" s="7"/>
      <c r="C667" s="10"/>
      <c r="D667" s="12"/>
      <c r="E667" s="7"/>
      <c r="F667" s="7"/>
      <c r="G667" s="7"/>
      <c r="H667" s="10"/>
      <c r="I667" s="19"/>
      <c r="J667" s="10"/>
      <c r="K667" s="10"/>
    </row>
    <row r="668" spans="2:11" ht="14.25" customHeight="1" x14ac:dyDescent="0.3">
      <c r="B668" s="7"/>
      <c r="C668" s="10"/>
      <c r="D668" s="12"/>
      <c r="E668" s="7"/>
      <c r="F668" s="7"/>
      <c r="G668" s="7"/>
      <c r="H668" s="10"/>
      <c r="I668" s="19"/>
      <c r="J668" s="10"/>
      <c r="K668" s="10"/>
    </row>
    <row r="669" spans="2:11" ht="14.25" customHeight="1" x14ac:dyDescent="0.3">
      <c r="B669" s="7"/>
      <c r="C669" s="10"/>
      <c r="D669" s="12"/>
      <c r="E669" s="7"/>
      <c r="F669" s="7"/>
      <c r="G669" s="7"/>
      <c r="H669" s="10"/>
      <c r="I669" s="19"/>
      <c r="J669" s="10"/>
      <c r="K669" s="10"/>
    </row>
    <row r="670" spans="2:11" ht="14.25" customHeight="1" x14ac:dyDescent="0.3">
      <c r="B670" s="7"/>
      <c r="C670" s="10"/>
      <c r="D670" s="12"/>
      <c r="E670" s="7"/>
      <c r="F670" s="7"/>
      <c r="G670" s="7"/>
      <c r="H670" s="10"/>
      <c r="I670" s="19"/>
      <c r="J670" s="10"/>
      <c r="K670" s="10"/>
    </row>
    <row r="671" spans="2:11" ht="14.25" customHeight="1" x14ac:dyDescent="0.3">
      <c r="B671" s="7"/>
      <c r="C671" s="10"/>
      <c r="D671" s="12"/>
      <c r="E671" s="7"/>
      <c r="F671" s="7"/>
      <c r="G671" s="7"/>
      <c r="H671" s="10"/>
      <c r="I671" s="19"/>
      <c r="J671" s="10"/>
      <c r="K671" s="10"/>
    </row>
    <row r="672" spans="2:11" ht="14.25" customHeight="1" x14ac:dyDescent="0.3">
      <c r="B672" s="7"/>
      <c r="C672" s="10"/>
      <c r="D672" s="12"/>
      <c r="E672" s="7"/>
      <c r="F672" s="7"/>
      <c r="G672" s="7"/>
      <c r="H672" s="10"/>
      <c r="I672" s="19"/>
      <c r="J672" s="10"/>
      <c r="K672" s="10"/>
    </row>
    <row r="673" spans="2:11" ht="14.25" customHeight="1" x14ac:dyDescent="0.3">
      <c r="B673" s="7"/>
      <c r="C673" s="10"/>
      <c r="D673" s="12"/>
      <c r="E673" s="7"/>
      <c r="F673" s="7"/>
      <c r="G673" s="7"/>
      <c r="H673" s="10"/>
      <c r="I673" s="19"/>
      <c r="J673" s="10"/>
      <c r="K673" s="10"/>
    </row>
    <row r="674" spans="2:11" ht="14.25" customHeight="1" x14ac:dyDescent="0.3">
      <c r="B674" s="7"/>
      <c r="C674" s="10"/>
      <c r="D674" s="12"/>
      <c r="E674" s="7"/>
      <c r="F674" s="7"/>
      <c r="G674" s="7"/>
      <c r="H674" s="10"/>
      <c r="I674" s="19"/>
      <c r="J674" s="10"/>
      <c r="K674" s="10"/>
    </row>
    <row r="675" spans="2:11" ht="14.25" customHeight="1" x14ac:dyDescent="0.3">
      <c r="B675" s="7"/>
      <c r="C675" s="10"/>
      <c r="D675" s="12"/>
      <c r="E675" s="7"/>
      <c r="F675" s="7"/>
      <c r="G675" s="7"/>
      <c r="H675" s="10"/>
      <c r="I675" s="19"/>
      <c r="J675" s="10"/>
      <c r="K675" s="10"/>
    </row>
    <row r="676" spans="2:11" ht="14.25" customHeight="1" x14ac:dyDescent="0.3">
      <c r="B676" s="7"/>
      <c r="C676" s="10"/>
      <c r="D676" s="12"/>
      <c r="E676" s="7"/>
      <c r="F676" s="7"/>
      <c r="G676" s="7"/>
      <c r="H676" s="10"/>
      <c r="I676" s="19"/>
      <c r="J676" s="10"/>
      <c r="K676" s="10"/>
    </row>
    <row r="677" spans="2:11" ht="14.25" customHeight="1" x14ac:dyDescent="0.3">
      <c r="B677" s="7"/>
      <c r="C677" s="10"/>
      <c r="D677" s="12"/>
      <c r="E677" s="7"/>
      <c r="F677" s="7"/>
      <c r="G677" s="7"/>
      <c r="H677" s="10"/>
      <c r="I677" s="19"/>
      <c r="J677" s="10"/>
      <c r="K677" s="10"/>
    </row>
    <row r="678" spans="2:11" ht="14.25" customHeight="1" x14ac:dyDescent="0.3">
      <c r="B678" s="7"/>
      <c r="C678" s="10"/>
      <c r="D678" s="12"/>
      <c r="E678" s="7"/>
      <c r="F678" s="7"/>
      <c r="G678" s="7"/>
      <c r="H678" s="10"/>
      <c r="I678" s="19"/>
      <c r="J678" s="10"/>
      <c r="K678" s="10"/>
    </row>
    <row r="679" spans="2:11" ht="14.25" customHeight="1" x14ac:dyDescent="0.3">
      <c r="B679" s="7"/>
      <c r="C679" s="10"/>
      <c r="D679" s="12"/>
      <c r="E679" s="7"/>
      <c r="F679" s="7"/>
      <c r="G679" s="7"/>
      <c r="H679" s="10"/>
      <c r="I679" s="19"/>
      <c r="J679" s="10"/>
      <c r="K679" s="10"/>
    </row>
    <row r="680" spans="2:11" ht="14.25" customHeight="1" x14ac:dyDescent="0.3">
      <c r="B680" s="7"/>
      <c r="C680" s="10"/>
      <c r="D680" s="12"/>
      <c r="E680" s="7"/>
      <c r="F680" s="7"/>
      <c r="G680" s="7"/>
      <c r="H680" s="10"/>
      <c r="I680" s="19"/>
      <c r="J680" s="10"/>
      <c r="K680" s="10"/>
    </row>
    <row r="681" spans="2:11" ht="14.25" customHeight="1" x14ac:dyDescent="0.3">
      <c r="B681" s="7"/>
      <c r="C681" s="10"/>
      <c r="D681" s="12"/>
      <c r="E681" s="7"/>
      <c r="F681" s="7"/>
      <c r="G681" s="7"/>
      <c r="H681" s="10"/>
      <c r="I681" s="19"/>
      <c r="J681" s="10"/>
      <c r="K681" s="10"/>
    </row>
    <row r="682" spans="2:11" ht="14.25" customHeight="1" x14ac:dyDescent="0.3">
      <c r="B682" s="7"/>
      <c r="C682" s="10"/>
      <c r="D682" s="12"/>
      <c r="E682" s="7"/>
      <c r="F682" s="7"/>
      <c r="G682" s="7"/>
      <c r="H682" s="10"/>
      <c r="I682" s="19"/>
      <c r="J682" s="10"/>
      <c r="K682" s="10"/>
    </row>
    <row r="683" spans="2:11" ht="14.25" customHeight="1" x14ac:dyDescent="0.3">
      <c r="B683" s="7"/>
      <c r="C683" s="10"/>
      <c r="D683" s="12"/>
      <c r="E683" s="7"/>
      <c r="F683" s="7"/>
      <c r="G683" s="7"/>
      <c r="H683" s="10"/>
      <c r="I683" s="19"/>
      <c r="J683" s="10"/>
      <c r="K683" s="10"/>
    </row>
    <row r="684" spans="2:11" ht="14.25" customHeight="1" x14ac:dyDescent="0.3">
      <c r="B684" s="7"/>
      <c r="C684" s="10"/>
      <c r="D684" s="12"/>
      <c r="E684" s="7"/>
      <c r="F684" s="7"/>
      <c r="G684" s="7"/>
      <c r="H684" s="10"/>
      <c r="I684" s="19"/>
      <c r="J684" s="10"/>
      <c r="K684" s="10"/>
    </row>
    <row r="685" spans="2:11" ht="14.25" customHeight="1" x14ac:dyDescent="0.3">
      <c r="B685" s="7"/>
      <c r="C685" s="10"/>
      <c r="D685" s="12"/>
      <c r="E685" s="7"/>
      <c r="F685" s="7"/>
      <c r="G685" s="7"/>
      <c r="H685" s="10"/>
      <c r="I685" s="19"/>
      <c r="J685" s="10"/>
      <c r="K685" s="10"/>
    </row>
    <row r="686" spans="2:11" ht="14.25" customHeight="1" x14ac:dyDescent="0.3">
      <c r="B686" s="7"/>
      <c r="C686" s="10"/>
      <c r="D686" s="12"/>
      <c r="E686" s="7"/>
      <c r="F686" s="7"/>
      <c r="G686" s="7"/>
      <c r="H686" s="10"/>
      <c r="I686" s="19"/>
      <c r="J686" s="10"/>
      <c r="K686" s="10"/>
    </row>
    <row r="687" spans="2:11" ht="14.25" customHeight="1" x14ac:dyDescent="0.3">
      <c r="B687" s="7"/>
      <c r="C687" s="10"/>
      <c r="D687" s="12"/>
      <c r="E687" s="7"/>
      <c r="F687" s="7"/>
      <c r="G687" s="7"/>
      <c r="H687" s="10"/>
      <c r="I687" s="19"/>
      <c r="J687" s="10"/>
      <c r="K687" s="10"/>
    </row>
    <row r="688" spans="2:11" ht="14.25" customHeight="1" x14ac:dyDescent="0.3">
      <c r="B688" s="7"/>
      <c r="C688" s="10"/>
      <c r="D688" s="12"/>
      <c r="E688" s="7"/>
      <c r="F688" s="7"/>
      <c r="G688" s="7"/>
      <c r="H688" s="10"/>
      <c r="I688" s="19"/>
      <c r="J688" s="10"/>
      <c r="K688" s="10"/>
    </row>
    <row r="689" spans="2:11" ht="14.25" customHeight="1" x14ac:dyDescent="0.3">
      <c r="B689" s="7"/>
      <c r="C689" s="10"/>
      <c r="D689" s="12"/>
      <c r="E689" s="7"/>
      <c r="F689" s="7"/>
      <c r="G689" s="7"/>
      <c r="H689" s="10"/>
      <c r="I689" s="19"/>
      <c r="J689" s="10"/>
      <c r="K689" s="10"/>
    </row>
    <row r="690" spans="2:11" ht="14.25" customHeight="1" x14ac:dyDescent="0.3">
      <c r="B690" s="7"/>
      <c r="C690" s="10"/>
      <c r="D690" s="12"/>
      <c r="E690" s="7"/>
      <c r="F690" s="7"/>
      <c r="G690" s="7"/>
      <c r="H690" s="10"/>
      <c r="I690" s="19"/>
      <c r="J690" s="10"/>
      <c r="K690" s="10"/>
    </row>
    <row r="691" spans="2:11" ht="14.25" customHeight="1" x14ac:dyDescent="0.3">
      <c r="B691" s="7"/>
      <c r="C691" s="10"/>
      <c r="D691" s="12"/>
      <c r="E691" s="7"/>
      <c r="F691" s="7"/>
      <c r="G691" s="7"/>
      <c r="H691" s="10"/>
      <c r="I691" s="19"/>
      <c r="J691" s="10"/>
      <c r="K691" s="10"/>
    </row>
    <row r="692" spans="2:11" ht="14.25" customHeight="1" x14ac:dyDescent="0.3">
      <c r="B692" s="7"/>
      <c r="C692" s="10"/>
      <c r="D692" s="12"/>
      <c r="E692" s="7"/>
      <c r="F692" s="7"/>
      <c r="G692" s="7"/>
      <c r="H692" s="10"/>
      <c r="I692" s="19"/>
      <c r="J692" s="10"/>
      <c r="K692" s="10"/>
    </row>
    <row r="693" spans="2:11" ht="14.25" customHeight="1" x14ac:dyDescent="0.3">
      <c r="B693" s="7"/>
      <c r="C693" s="10"/>
      <c r="D693" s="12"/>
      <c r="E693" s="7"/>
      <c r="F693" s="7"/>
      <c r="G693" s="7"/>
      <c r="H693" s="10"/>
      <c r="I693" s="19"/>
      <c r="J693" s="10"/>
      <c r="K693" s="10"/>
    </row>
    <row r="694" spans="2:11" ht="14.25" customHeight="1" x14ac:dyDescent="0.3">
      <c r="B694" s="7"/>
      <c r="C694" s="10"/>
      <c r="D694" s="12"/>
      <c r="E694" s="7"/>
      <c r="F694" s="7"/>
      <c r="G694" s="7"/>
      <c r="H694" s="10"/>
      <c r="I694" s="19"/>
      <c r="J694" s="10"/>
      <c r="K694" s="10"/>
    </row>
    <row r="695" spans="2:11" ht="14.25" customHeight="1" x14ac:dyDescent="0.3">
      <c r="B695" s="7"/>
      <c r="C695" s="10"/>
      <c r="D695" s="12"/>
      <c r="E695" s="7"/>
      <c r="F695" s="7"/>
      <c r="G695" s="7"/>
      <c r="H695" s="10"/>
      <c r="I695" s="19"/>
      <c r="J695" s="10"/>
      <c r="K695" s="10"/>
    </row>
    <row r="696" spans="2:11" ht="14.25" customHeight="1" x14ac:dyDescent="0.3">
      <c r="B696" s="7"/>
      <c r="C696" s="10"/>
      <c r="D696" s="12"/>
      <c r="E696" s="7"/>
      <c r="F696" s="7"/>
      <c r="G696" s="7"/>
      <c r="H696" s="10"/>
      <c r="I696" s="19"/>
      <c r="J696" s="10"/>
      <c r="K696" s="10"/>
    </row>
    <row r="697" spans="2:11" ht="14.25" customHeight="1" x14ac:dyDescent="0.3">
      <c r="B697" s="7"/>
      <c r="C697" s="10"/>
      <c r="D697" s="12"/>
      <c r="E697" s="7"/>
      <c r="F697" s="7"/>
      <c r="G697" s="7"/>
      <c r="H697" s="10"/>
      <c r="I697" s="19"/>
      <c r="J697" s="10"/>
      <c r="K697" s="10"/>
    </row>
    <row r="698" spans="2:11" ht="14.25" customHeight="1" x14ac:dyDescent="0.3">
      <c r="B698" s="7"/>
      <c r="C698" s="10"/>
      <c r="D698" s="12"/>
      <c r="E698" s="7"/>
      <c r="F698" s="7"/>
      <c r="G698" s="7"/>
      <c r="H698" s="10"/>
      <c r="I698" s="19"/>
      <c r="J698" s="10"/>
      <c r="K698" s="10"/>
    </row>
    <row r="699" spans="2:11" ht="14.25" customHeight="1" x14ac:dyDescent="0.3">
      <c r="B699" s="7"/>
      <c r="C699" s="10"/>
      <c r="D699" s="12"/>
      <c r="E699" s="7"/>
      <c r="F699" s="7"/>
      <c r="G699" s="7"/>
      <c r="H699" s="10"/>
      <c r="I699" s="19"/>
      <c r="J699" s="10"/>
      <c r="K699" s="10"/>
    </row>
    <row r="700" spans="2:11" ht="14.25" customHeight="1" x14ac:dyDescent="0.3">
      <c r="B700" s="7"/>
      <c r="C700" s="10"/>
      <c r="D700" s="12"/>
      <c r="E700" s="7"/>
      <c r="F700" s="7"/>
      <c r="G700" s="7"/>
      <c r="H700" s="10"/>
      <c r="I700" s="19"/>
      <c r="J700" s="10"/>
      <c r="K700" s="10"/>
    </row>
    <row r="701" spans="2:11" ht="14.25" customHeight="1" x14ac:dyDescent="0.3">
      <c r="B701" s="7"/>
      <c r="C701" s="10"/>
      <c r="D701" s="12"/>
      <c r="E701" s="7"/>
      <c r="F701" s="7"/>
      <c r="G701" s="7"/>
      <c r="H701" s="10"/>
      <c r="I701" s="19"/>
      <c r="J701" s="10"/>
      <c r="K701" s="10"/>
    </row>
    <row r="702" spans="2:11" ht="14.25" customHeight="1" x14ac:dyDescent="0.3">
      <c r="B702" s="7"/>
      <c r="C702" s="10"/>
      <c r="D702" s="12"/>
      <c r="E702" s="7"/>
      <c r="F702" s="7"/>
      <c r="G702" s="7"/>
      <c r="H702" s="10"/>
      <c r="I702" s="19"/>
      <c r="J702" s="10"/>
      <c r="K702" s="10"/>
    </row>
    <row r="703" spans="2:11" ht="14.25" customHeight="1" x14ac:dyDescent="0.3">
      <c r="B703" s="7"/>
      <c r="C703" s="10"/>
      <c r="D703" s="12"/>
      <c r="E703" s="7"/>
      <c r="F703" s="7"/>
      <c r="G703" s="7"/>
      <c r="H703" s="10"/>
      <c r="I703" s="19"/>
      <c r="J703" s="10"/>
      <c r="K703" s="10"/>
    </row>
    <row r="704" spans="2:11" ht="14.25" customHeight="1" x14ac:dyDescent="0.3">
      <c r="B704" s="7"/>
      <c r="C704" s="10"/>
      <c r="D704" s="12"/>
      <c r="E704" s="7"/>
      <c r="F704" s="7"/>
      <c r="G704" s="7"/>
      <c r="H704" s="10"/>
      <c r="I704" s="19"/>
      <c r="J704" s="10"/>
      <c r="K704" s="10"/>
    </row>
    <row r="705" spans="2:11" ht="14.25" customHeight="1" x14ac:dyDescent="0.3">
      <c r="B705" s="7"/>
      <c r="C705" s="10"/>
      <c r="D705" s="12"/>
      <c r="E705" s="7"/>
      <c r="F705" s="7"/>
      <c r="G705" s="7"/>
      <c r="H705" s="10"/>
      <c r="I705" s="19"/>
      <c r="J705" s="10"/>
      <c r="K705" s="10"/>
    </row>
    <row r="706" spans="2:11" ht="14.25" customHeight="1" x14ac:dyDescent="0.3">
      <c r="B706" s="7"/>
      <c r="C706" s="10"/>
      <c r="D706" s="12"/>
      <c r="E706" s="7"/>
      <c r="F706" s="7"/>
      <c r="G706" s="7"/>
      <c r="H706" s="10"/>
      <c r="I706" s="19"/>
      <c r="J706" s="10"/>
      <c r="K706" s="10"/>
    </row>
    <row r="707" spans="2:11" ht="14.25" customHeight="1" x14ac:dyDescent="0.3">
      <c r="B707" s="7"/>
      <c r="C707" s="10"/>
      <c r="D707" s="12"/>
      <c r="E707" s="7"/>
      <c r="F707" s="7"/>
      <c r="G707" s="7"/>
      <c r="H707" s="10"/>
      <c r="I707" s="19"/>
      <c r="J707" s="10"/>
      <c r="K707" s="10"/>
    </row>
    <row r="708" spans="2:11" ht="14.25" customHeight="1" x14ac:dyDescent="0.3">
      <c r="B708" s="7"/>
      <c r="C708" s="10"/>
      <c r="D708" s="12"/>
      <c r="E708" s="7"/>
      <c r="F708" s="7"/>
      <c r="G708" s="7"/>
      <c r="H708" s="10"/>
      <c r="I708" s="19"/>
      <c r="J708" s="10"/>
      <c r="K708" s="10"/>
    </row>
    <row r="709" spans="2:11" ht="14.25" customHeight="1" x14ac:dyDescent="0.3">
      <c r="B709" s="7"/>
      <c r="C709" s="10"/>
      <c r="D709" s="12"/>
      <c r="E709" s="7"/>
      <c r="F709" s="7"/>
      <c r="G709" s="7"/>
      <c r="H709" s="10"/>
      <c r="I709" s="19"/>
      <c r="J709" s="10"/>
      <c r="K709" s="10"/>
    </row>
    <row r="710" spans="2:11" ht="14.25" customHeight="1" x14ac:dyDescent="0.3">
      <c r="B710" s="7"/>
      <c r="C710" s="10"/>
      <c r="D710" s="12"/>
      <c r="E710" s="7"/>
      <c r="F710" s="7"/>
      <c r="G710" s="7"/>
      <c r="H710" s="10"/>
      <c r="I710" s="19"/>
      <c r="J710" s="10"/>
      <c r="K710" s="10"/>
    </row>
    <row r="711" spans="2:11" ht="14.25" customHeight="1" x14ac:dyDescent="0.3">
      <c r="B711" s="7"/>
      <c r="C711" s="10"/>
      <c r="D711" s="12"/>
      <c r="E711" s="7"/>
      <c r="F711" s="7"/>
      <c r="G711" s="7"/>
      <c r="H711" s="10"/>
      <c r="I711" s="19"/>
      <c r="J711" s="10"/>
      <c r="K711" s="10"/>
    </row>
    <row r="712" spans="2:11" ht="14.25" customHeight="1" x14ac:dyDescent="0.3">
      <c r="B712" s="7"/>
      <c r="C712" s="10"/>
      <c r="D712" s="12"/>
      <c r="E712" s="7"/>
      <c r="F712" s="7"/>
      <c r="G712" s="7"/>
      <c r="H712" s="10"/>
      <c r="I712" s="19"/>
      <c r="J712" s="10"/>
      <c r="K712" s="10"/>
    </row>
    <row r="713" spans="2:11" ht="14.25" customHeight="1" x14ac:dyDescent="0.3">
      <c r="B713" s="7"/>
      <c r="C713" s="10"/>
      <c r="D713" s="12"/>
      <c r="E713" s="7"/>
      <c r="F713" s="7"/>
      <c r="G713" s="7"/>
      <c r="H713" s="10"/>
      <c r="I713" s="19"/>
      <c r="J713" s="10"/>
      <c r="K713" s="10"/>
    </row>
    <row r="714" spans="2:11" ht="14.25" customHeight="1" x14ac:dyDescent="0.3">
      <c r="B714" s="7"/>
      <c r="C714" s="10"/>
      <c r="D714" s="12"/>
      <c r="E714" s="7"/>
      <c r="F714" s="7"/>
      <c r="G714" s="7"/>
      <c r="H714" s="10"/>
      <c r="I714" s="19"/>
      <c r="J714" s="10"/>
      <c r="K714" s="10"/>
    </row>
    <row r="715" spans="2:11" ht="14.25" customHeight="1" x14ac:dyDescent="0.3">
      <c r="B715" s="7"/>
      <c r="C715" s="10"/>
      <c r="D715" s="12"/>
      <c r="E715" s="7"/>
      <c r="F715" s="7"/>
      <c r="G715" s="7"/>
      <c r="H715" s="10"/>
      <c r="I715" s="19"/>
      <c r="J715" s="10"/>
      <c r="K715" s="10"/>
    </row>
    <row r="716" spans="2:11" ht="14.25" customHeight="1" x14ac:dyDescent="0.3">
      <c r="B716" s="7"/>
      <c r="C716" s="10"/>
      <c r="D716" s="12"/>
      <c r="E716" s="7"/>
      <c r="F716" s="7"/>
      <c r="G716" s="7"/>
      <c r="H716" s="10"/>
      <c r="I716" s="19"/>
      <c r="J716" s="10"/>
      <c r="K716" s="10"/>
    </row>
    <row r="717" spans="2:11" ht="14.25" customHeight="1" x14ac:dyDescent="0.3">
      <c r="B717" s="7"/>
      <c r="C717" s="10"/>
      <c r="D717" s="12"/>
      <c r="E717" s="7"/>
      <c r="F717" s="7"/>
      <c r="G717" s="7"/>
      <c r="H717" s="10"/>
      <c r="I717" s="19"/>
      <c r="J717" s="10"/>
      <c r="K717" s="10"/>
    </row>
    <row r="718" spans="2:11" ht="14.25" customHeight="1" x14ac:dyDescent="0.3">
      <c r="B718" s="7"/>
      <c r="C718" s="10"/>
      <c r="D718" s="12"/>
      <c r="E718" s="7"/>
      <c r="F718" s="7"/>
      <c r="G718" s="7"/>
      <c r="H718" s="10"/>
      <c r="I718" s="19"/>
      <c r="J718" s="10"/>
      <c r="K718" s="10"/>
    </row>
    <row r="719" spans="2:11" ht="14.25" customHeight="1" x14ac:dyDescent="0.3">
      <c r="B719" s="7"/>
      <c r="C719" s="10"/>
      <c r="D719" s="12"/>
      <c r="E719" s="7"/>
      <c r="F719" s="7"/>
      <c r="G719" s="7"/>
      <c r="H719" s="10"/>
      <c r="I719" s="19"/>
      <c r="J719" s="10"/>
      <c r="K719" s="10"/>
    </row>
    <row r="720" spans="2:11" ht="14.25" customHeight="1" x14ac:dyDescent="0.3">
      <c r="B720" s="7"/>
      <c r="C720" s="10"/>
      <c r="D720" s="12"/>
      <c r="E720" s="7"/>
      <c r="F720" s="7"/>
      <c r="G720" s="7"/>
      <c r="H720" s="10"/>
      <c r="I720" s="19"/>
      <c r="J720" s="10"/>
      <c r="K720" s="10"/>
    </row>
    <row r="721" spans="2:11" ht="14.25" customHeight="1" x14ac:dyDescent="0.3">
      <c r="B721" s="7"/>
      <c r="C721" s="10"/>
      <c r="D721" s="12"/>
      <c r="E721" s="7"/>
      <c r="F721" s="7"/>
      <c r="G721" s="7"/>
      <c r="H721" s="10"/>
      <c r="I721" s="19"/>
      <c r="J721" s="10"/>
      <c r="K721" s="10"/>
    </row>
    <row r="722" spans="2:11" ht="14.25" customHeight="1" x14ac:dyDescent="0.3">
      <c r="B722" s="7"/>
      <c r="C722" s="10"/>
      <c r="D722" s="12"/>
      <c r="E722" s="7"/>
      <c r="F722" s="7"/>
      <c r="G722" s="7"/>
      <c r="H722" s="10"/>
      <c r="I722" s="19"/>
      <c r="J722" s="10"/>
      <c r="K722" s="10"/>
    </row>
    <row r="723" spans="2:11" ht="14.25" customHeight="1" x14ac:dyDescent="0.3">
      <c r="B723" s="7"/>
      <c r="C723" s="10"/>
      <c r="D723" s="12"/>
      <c r="E723" s="7"/>
      <c r="F723" s="7"/>
      <c r="G723" s="7"/>
      <c r="H723" s="10"/>
      <c r="I723" s="19"/>
      <c r="J723" s="10"/>
      <c r="K723" s="10"/>
    </row>
    <row r="724" spans="2:11" ht="14.25" customHeight="1" x14ac:dyDescent="0.3">
      <c r="B724" s="7"/>
      <c r="C724" s="10"/>
      <c r="D724" s="12"/>
      <c r="E724" s="7"/>
      <c r="F724" s="7"/>
      <c r="G724" s="7"/>
      <c r="H724" s="10"/>
      <c r="I724" s="19"/>
      <c r="J724" s="10"/>
      <c r="K724" s="10"/>
    </row>
    <row r="725" spans="2:11" ht="14.25" customHeight="1" x14ac:dyDescent="0.3">
      <c r="B725" s="7"/>
      <c r="C725" s="10"/>
      <c r="D725" s="12"/>
      <c r="E725" s="7"/>
      <c r="F725" s="7"/>
      <c r="G725" s="7"/>
      <c r="H725" s="10"/>
      <c r="I725" s="19"/>
      <c r="J725" s="10"/>
      <c r="K725" s="10"/>
    </row>
    <row r="726" spans="2:11" ht="14.25" customHeight="1" x14ac:dyDescent="0.3">
      <c r="B726" s="7"/>
      <c r="C726" s="10"/>
      <c r="D726" s="12"/>
      <c r="E726" s="7"/>
      <c r="F726" s="7"/>
      <c r="G726" s="7"/>
      <c r="H726" s="10"/>
      <c r="I726" s="19"/>
      <c r="J726" s="10"/>
      <c r="K726" s="10"/>
    </row>
    <row r="727" spans="2:11" ht="14.25" customHeight="1" x14ac:dyDescent="0.3">
      <c r="B727" s="7"/>
      <c r="C727" s="10"/>
      <c r="D727" s="12"/>
      <c r="E727" s="7"/>
      <c r="F727" s="7"/>
      <c r="G727" s="7"/>
      <c r="H727" s="10"/>
      <c r="I727" s="19"/>
      <c r="J727" s="10"/>
      <c r="K727" s="10"/>
    </row>
    <row r="728" spans="2:11" ht="14.25" customHeight="1" x14ac:dyDescent="0.3">
      <c r="B728" s="7"/>
      <c r="C728" s="10"/>
      <c r="D728" s="12"/>
      <c r="E728" s="7"/>
      <c r="F728" s="7"/>
      <c r="G728" s="7"/>
      <c r="H728" s="10"/>
      <c r="I728" s="19"/>
      <c r="J728" s="10"/>
      <c r="K728" s="10"/>
    </row>
    <row r="729" spans="2:11" ht="14.25" customHeight="1" x14ac:dyDescent="0.3">
      <c r="B729" s="7"/>
      <c r="C729" s="10"/>
      <c r="D729" s="12"/>
      <c r="E729" s="7"/>
      <c r="F729" s="7"/>
      <c r="G729" s="7"/>
      <c r="H729" s="10"/>
      <c r="I729" s="19"/>
      <c r="J729" s="10"/>
      <c r="K729" s="10"/>
    </row>
    <row r="730" spans="2:11" ht="14.25" customHeight="1" x14ac:dyDescent="0.3">
      <c r="B730" s="7"/>
      <c r="C730" s="10"/>
      <c r="D730" s="12"/>
      <c r="E730" s="7"/>
      <c r="F730" s="7"/>
      <c r="G730" s="7"/>
      <c r="H730" s="10"/>
      <c r="I730" s="19"/>
      <c r="J730" s="10"/>
      <c r="K730" s="10"/>
    </row>
    <row r="731" spans="2:11" ht="14.25" customHeight="1" x14ac:dyDescent="0.3">
      <c r="B731" s="7"/>
      <c r="C731" s="10"/>
      <c r="D731" s="12"/>
      <c r="E731" s="7"/>
      <c r="F731" s="7"/>
      <c r="G731" s="7"/>
      <c r="H731" s="10"/>
      <c r="I731" s="19"/>
      <c r="J731" s="10"/>
      <c r="K731" s="10"/>
    </row>
    <row r="732" spans="2:11" ht="14.25" customHeight="1" x14ac:dyDescent="0.3">
      <c r="B732" s="7"/>
      <c r="C732" s="10"/>
      <c r="D732" s="12"/>
      <c r="E732" s="7"/>
      <c r="F732" s="7"/>
      <c r="G732" s="7"/>
      <c r="H732" s="10"/>
      <c r="I732" s="19"/>
      <c r="J732" s="10"/>
      <c r="K732" s="10"/>
    </row>
    <row r="733" spans="2:11" ht="14.25" customHeight="1" x14ac:dyDescent="0.3">
      <c r="B733" s="7"/>
      <c r="C733" s="10"/>
      <c r="D733" s="12"/>
      <c r="E733" s="7"/>
      <c r="F733" s="7"/>
      <c r="G733" s="7"/>
      <c r="H733" s="10"/>
      <c r="I733" s="19"/>
      <c r="J733" s="10"/>
      <c r="K733" s="10"/>
    </row>
    <row r="734" spans="2:11" ht="14.25" customHeight="1" x14ac:dyDescent="0.3">
      <c r="B734" s="7"/>
      <c r="C734" s="10"/>
      <c r="D734" s="12"/>
      <c r="E734" s="7"/>
      <c r="F734" s="7"/>
      <c r="G734" s="7"/>
      <c r="H734" s="10"/>
      <c r="I734" s="19"/>
      <c r="J734" s="10"/>
      <c r="K734" s="10"/>
    </row>
    <row r="735" spans="2:11" ht="14.25" customHeight="1" x14ac:dyDescent="0.3">
      <c r="B735" s="7"/>
      <c r="C735" s="10"/>
      <c r="D735" s="12"/>
      <c r="E735" s="7"/>
      <c r="F735" s="7"/>
      <c r="G735" s="7"/>
      <c r="H735" s="10"/>
      <c r="I735" s="19"/>
      <c r="J735" s="10"/>
      <c r="K735" s="10"/>
    </row>
    <row r="736" spans="2:11" ht="14.25" customHeight="1" x14ac:dyDescent="0.3">
      <c r="B736" s="7"/>
      <c r="C736" s="10"/>
      <c r="D736" s="12"/>
      <c r="E736" s="7"/>
      <c r="F736" s="7"/>
      <c r="G736" s="7"/>
      <c r="H736" s="10"/>
      <c r="I736" s="19"/>
      <c r="J736" s="10"/>
      <c r="K736" s="10"/>
    </row>
    <row r="737" spans="2:11" ht="14.25" customHeight="1" x14ac:dyDescent="0.3">
      <c r="B737" s="7"/>
      <c r="C737" s="10"/>
      <c r="D737" s="12"/>
      <c r="E737" s="7"/>
      <c r="F737" s="7"/>
      <c r="G737" s="7"/>
      <c r="H737" s="10"/>
      <c r="I737" s="19"/>
      <c r="J737" s="10"/>
      <c r="K737" s="10"/>
    </row>
    <row r="738" spans="2:11" ht="14.25" customHeight="1" x14ac:dyDescent="0.3">
      <c r="B738" s="7"/>
      <c r="C738" s="10"/>
      <c r="D738" s="12"/>
      <c r="E738" s="7"/>
      <c r="F738" s="7"/>
      <c r="G738" s="7"/>
      <c r="H738" s="10"/>
      <c r="I738" s="19"/>
      <c r="J738" s="10"/>
      <c r="K738" s="10"/>
    </row>
    <row r="739" spans="2:11" ht="14.25" customHeight="1" x14ac:dyDescent="0.3">
      <c r="B739" s="7"/>
      <c r="C739" s="10"/>
      <c r="D739" s="12"/>
      <c r="E739" s="7"/>
      <c r="F739" s="7"/>
      <c r="G739" s="7"/>
      <c r="H739" s="10"/>
      <c r="I739" s="19"/>
      <c r="J739" s="10"/>
      <c r="K739" s="10"/>
    </row>
    <row r="740" spans="2:11" ht="14.25" customHeight="1" x14ac:dyDescent="0.3">
      <c r="B740" s="7"/>
      <c r="C740" s="10"/>
      <c r="D740" s="12"/>
      <c r="E740" s="7"/>
      <c r="F740" s="7"/>
      <c r="G740" s="7"/>
      <c r="H740" s="10"/>
      <c r="I740" s="19"/>
      <c r="J740" s="10"/>
      <c r="K740" s="10"/>
    </row>
    <row r="741" spans="2:11" ht="14.25" customHeight="1" x14ac:dyDescent="0.3">
      <c r="B741" s="7"/>
      <c r="C741" s="10"/>
      <c r="D741" s="12"/>
      <c r="E741" s="7"/>
      <c r="F741" s="7"/>
      <c r="G741" s="7"/>
      <c r="H741" s="10"/>
      <c r="I741" s="19"/>
      <c r="J741" s="10"/>
      <c r="K741" s="10"/>
    </row>
    <row r="742" spans="2:11" ht="14.25" customHeight="1" x14ac:dyDescent="0.3">
      <c r="B742" s="7"/>
      <c r="C742" s="10"/>
      <c r="D742" s="12"/>
      <c r="E742" s="7"/>
      <c r="F742" s="7"/>
      <c r="G742" s="7"/>
      <c r="H742" s="10"/>
      <c r="I742" s="19"/>
      <c r="J742" s="10"/>
      <c r="K742" s="10"/>
    </row>
    <row r="743" spans="2:11" ht="14.25" customHeight="1" x14ac:dyDescent="0.3">
      <c r="B743" s="7"/>
      <c r="C743" s="10"/>
      <c r="D743" s="12"/>
      <c r="E743" s="7"/>
      <c r="F743" s="7"/>
      <c r="G743" s="7"/>
      <c r="H743" s="10"/>
      <c r="I743" s="19"/>
      <c r="J743" s="10"/>
      <c r="K743" s="10"/>
    </row>
    <row r="744" spans="2:11" ht="14.25" customHeight="1" x14ac:dyDescent="0.3">
      <c r="B744" s="7"/>
      <c r="C744" s="10"/>
      <c r="D744" s="12"/>
      <c r="E744" s="7"/>
      <c r="F744" s="7"/>
      <c r="G744" s="7"/>
      <c r="H744" s="10"/>
      <c r="I744" s="19"/>
      <c r="J744" s="10"/>
      <c r="K744" s="10"/>
    </row>
    <row r="745" spans="2:11" ht="14.25" customHeight="1" x14ac:dyDescent="0.3">
      <c r="B745" s="7"/>
      <c r="C745" s="10"/>
      <c r="D745" s="12"/>
      <c r="E745" s="7"/>
      <c r="F745" s="7"/>
      <c r="G745" s="7"/>
      <c r="H745" s="10"/>
      <c r="I745" s="19"/>
      <c r="J745" s="10"/>
      <c r="K745" s="10"/>
    </row>
    <row r="746" spans="2:11" ht="14.25" customHeight="1" x14ac:dyDescent="0.3">
      <c r="B746" s="7"/>
      <c r="C746" s="10"/>
      <c r="D746" s="12"/>
      <c r="E746" s="7"/>
      <c r="F746" s="7"/>
      <c r="G746" s="7"/>
      <c r="H746" s="10"/>
      <c r="I746" s="19"/>
      <c r="J746" s="10"/>
      <c r="K746" s="10"/>
    </row>
    <row r="747" spans="2:11" ht="14.25" customHeight="1" x14ac:dyDescent="0.3">
      <c r="B747" s="7"/>
      <c r="C747" s="10"/>
      <c r="D747" s="12"/>
      <c r="E747" s="7"/>
      <c r="F747" s="7"/>
      <c r="G747" s="7"/>
      <c r="H747" s="10"/>
      <c r="I747" s="19"/>
      <c r="J747" s="10"/>
      <c r="K747" s="10"/>
    </row>
    <row r="748" spans="2:11" ht="14.25" customHeight="1" x14ac:dyDescent="0.3">
      <c r="B748" s="7"/>
      <c r="C748" s="10"/>
      <c r="D748" s="12"/>
      <c r="E748" s="7"/>
      <c r="F748" s="7"/>
      <c r="G748" s="7"/>
      <c r="H748" s="10"/>
      <c r="I748" s="19"/>
      <c r="J748" s="10"/>
      <c r="K748" s="10"/>
    </row>
    <row r="749" spans="2:11" ht="14.25" customHeight="1" x14ac:dyDescent="0.3">
      <c r="B749" s="7"/>
      <c r="C749" s="10"/>
      <c r="D749" s="12"/>
      <c r="E749" s="7"/>
      <c r="F749" s="7"/>
      <c r="G749" s="7"/>
      <c r="H749" s="10"/>
      <c r="I749" s="19"/>
      <c r="J749" s="10"/>
      <c r="K749" s="10"/>
    </row>
    <row r="750" spans="2:11" ht="14.25" customHeight="1" x14ac:dyDescent="0.3">
      <c r="B750" s="7"/>
      <c r="C750" s="10"/>
      <c r="D750" s="12"/>
      <c r="E750" s="7"/>
      <c r="F750" s="7"/>
      <c r="G750" s="7"/>
      <c r="H750" s="10"/>
      <c r="I750" s="19"/>
      <c r="J750" s="10"/>
      <c r="K750" s="10"/>
    </row>
    <row r="751" spans="2:11" ht="14.25" customHeight="1" x14ac:dyDescent="0.3">
      <c r="B751" s="7"/>
      <c r="C751" s="10"/>
      <c r="D751" s="12"/>
      <c r="E751" s="7"/>
      <c r="F751" s="7"/>
      <c r="G751" s="7"/>
      <c r="H751" s="10"/>
      <c r="I751" s="19"/>
      <c r="J751" s="10"/>
      <c r="K751" s="10"/>
    </row>
    <row r="752" spans="2:11" ht="14.25" customHeight="1" x14ac:dyDescent="0.3">
      <c r="B752" s="7"/>
      <c r="C752" s="10"/>
      <c r="D752" s="12"/>
      <c r="E752" s="7"/>
      <c r="F752" s="7"/>
      <c r="G752" s="7"/>
      <c r="H752" s="10"/>
      <c r="I752" s="19"/>
      <c r="J752" s="10"/>
      <c r="K752" s="10"/>
    </row>
    <row r="753" spans="2:11" ht="14.25" customHeight="1" x14ac:dyDescent="0.3">
      <c r="B753" s="7"/>
      <c r="C753" s="10"/>
      <c r="D753" s="12"/>
      <c r="E753" s="7"/>
      <c r="F753" s="7"/>
      <c r="G753" s="7"/>
      <c r="H753" s="10"/>
      <c r="I753" s="19"/>
      <c r="J753" s="10"/>
      <c r="K753" s="10"/>
    </row>
    <row r="754" spans="2:11" ht="14.25" customHeight="1" x14ac:dyDescent="0.3">
      <c r="B754" s="7"/>
      <c r="C754" s="10"/>
      <c r="D754" s="12"/>
      <c r="E754" s="7"/>
      <c r="F754" s="7"/>
      <c r="G754" s="7"/>
      <c r="H754" s="10"/>
      <c r="I754" s="19"/>
      <c r="J754" s="10"/>
      <c r="K754" s="10"/>
    </row>
    <row r="755" spans="2:11" ht="14.25" customHeight="1" x14ac:dyDescent="0.3">
      <c r="B755" s="7"/>
      <c r="C755" s="10"/>
      <c r="D755" s="12"/>
      <c r="E755" s="7"/>
      <c r="F755" s="7"/>
      <c r="G755" s="7"/>
      <c r="H755" s="10"/>
      <c r="I755" s="19"/>
      <c r="J755" s="10"/>
      <c r="K755" s="10"/>
    </row>
    <row r="756" spans="2:11" ht="14.25" customHeight="1" x14ac:dyDescent="0.3">
      <c r="B756" s="7"/>
      <c r="C756" s="10"/>
      <c r="D756" s="12"/>
      <c r="E756" s="7"/>
      <c r="F756" s="7"/>
      <c r="G756" s="7"/>
      <c r="H756" s="10"/>
      <c r="I756" s="19"/>
      <c r="J756" s="10"/>
      <c r="K756" s="10"/>
    </row>
    <row r="757" spans="2:11" ht="14.25" customHeight="1" x14ac:dyDescent="0.3">
      <c r="B757" s="7"/>
      <c r="C757" s="10"/>
      <c r="D757" s="12"/>
      <c r="E757" s="7"/>
      <c r="F757" s="7"/>
      <c r="G757" s="7"/>
      <c r="H757" s="10"/>
      <c r="I757" s="19"/>
      <c r="J757" s="10"/>
      <c r="K757" s="10"/>
    </row>
    <row r="758" spans="2:11" ht="14.25" customHeight="1" x14ac:dyDescent="0.3">
      <c r="B758" s="7"/>
      <c r="C758" s="10"/>
      <c r="D758" s="12"/>
      <c r="E758" s="7"/>
      <c r="F758" s="7"/>
      <c r="G758" s="7"/>
      <c r="H758" s="10"/>
      <c r="I758" s="19"/>
      <c r="J758" s="10"/>
      <c r="K758" s="10"/>
    </row>
    <row r="759" spans="2:11" ht="14.25" customHeight="1" x14ac:dyDescent="0.3">
      <c r="B759" s="7"/>
      <c r="C759" s="10"/>
      <c r="D759" s="12"/>
      <c r="E759" s="7"/>
      <c r="F759" s="7"/>
      <c r="G759" s="7"/>
      <c r="H759" s="10"/>
      <c r="I759" s="19"/>
      <c r="J759" s="10"/>
      <c r="K759" s="10"/>
    </row>
    <row r="760" spans="2:11" ht="14.25" customHeight="1" x14ac:dyDescent="0.3">
      <c r="B760" s="7"/>
      <c r="C760" s="10"/>
      <c r="D760" s="12"/>
      <c r="E760" s="7"/>
      <c r="F760" s="7"/>
      <c r="G760" s="7"/>
      <c r="H760" s="10"/>
      <c r="I760" s="19"/>
      <c r="J760" s="10"/>
      <c r="K760" s="10"/>
    </row>
    <row r="761" spans="2:11" ht="14.25" customHeight="1" x14ac:dyDescent="0.3">
      <c r="B761" s="7"/>
      <c r="C761" s="10"/>
      <c r="D761" s="12"/>
      <c r="E761" s="7"/>
      <c r="F761" s="7"/>
      <c r="G761" s="7"/>
      <c r="H761" s="10"/>
      <c r="I761" s="19"/>
      <c r="J761" s="10"/>
      <c r="K761" s="10"/>
    </row>
    <row r="762" spans="2:11" ht="14.25" customHeight="1" x14ac:dyDescent="0.3">
      <c r="B762" s="7"/>
      <c r="C762" s="10"/>
      <c r="D762" s="12"/>
      <c r="E762" s="7"/>
      <c r="F762" s="7"/>
      <c r="G762" s="7"/>
      <c r="H762" s="10"/>
      <c r="I762" s="19"/>
      <c r="J762" s="10"/>
      <c r="K762" s="10"/>
    </row>
    <row r="763" spans="2:11" ht="14.25" customHeight="1" x14ac:dyDescent="0.3">
      <c r="B763" s="7"/>
      <c r="C763" s="10"/>
      <c r="D763" s="12"/>
      <c r="E763" s="7"/>
      <c r="F763" s="7"/>
      <c r="G763" s="7"/>
      <c r="H763" s="10"/>
      <c r="I763" s="19"/>
      <c r="J763" s="10"/>
      <c r="K763" s="10"/>
    </row>
    <row r="764" spans="2:11" ht="14.25" customHeight="1" x14ac:dyDescent="0.3">
      <c r="B764" s="7"/>
      <c r="C764" s="10"/>
      <c r="D764" s="12"/>
      <c r="E764" s="7"/>
      <c r="F764" s="7"/>
      <c r="G764" s="7"/>
      <c r="H764" s="10"/>
      <c r="I764" s="19"/>
      <c r="J764" s="10"/>
      <c r="K764" s="10"/>
    </row>
    <row r="765" spans="2:11" ht="14.25" customHeight="1" x14ac:dyDescent="0.3">
      <c r="B765" s="7"/>
      <c r="C765" s="10"/>
      <c r="D765" s="12"/>
      <c r="E765" s="7"/>
      <c r="F765" s="7"/>
      <c r="G765" s="7"/>
      <c r="H765" s="10"/>
      <c r="I765" s="19"/>
      <c r="J765" s="10"/>
      <c r="K765" s="10"/>
    </row>
    <row r="766" spans="2:11" ht="14.25" customHeight="1" x14ac:dyDescent="0.3">
      <c r="B766" s="7"/>
      <c r="C766" s="10"/>
      <c r="D766" s="12"/>
      <c r="E766" s="7"/>
      <c r="F766" s="7"/>
      <c r="G766" s="7"/>
      <c r="H766" s="10"/>
      <c r="I766" s="19"/>
      <c r="J766" s="10"/>
      <c r="K766" s="10"/>
    </row>
    <row r="767" spans="2:11" ht="14.25" customHeight="1" x14ac:dyDescent="0.3">
      <c r="B767" s="7"/>
      <c r="C767" s="10"/>
      <c r="D767" s="12"/>
      <c r="E767" s="7"/>
      <c r="F767" s="7"/>
      <c r="G767" s="7"/>
      <c r="H767" s="10"/>
      <c r="I767" s="19"/>
      <c r="J767" s="10"/>
      <c r="K767" s="10"/>
    </row>
    <row r="768" spans="2:11" ht="14.25" customHeight="1" x14ac:dyDescent="0.3">
      <c r="B768" s="7"/>
      <c r="C768" s="10"/>
      <c r="D768" s="12"/>
      <c r="E768" s="7"/>
      <c r="F768" s="7"/>
      <c r="G768" s="7"/>
      <c r="H768" s="10"/>
      <c r="I768" s="19"/>
      <c r="J768" s="10"/>
      <c r="K768" s="10"/>
    </row>
    <row r="769" spans="2:11" ht="14.25" customHeight="1" x14ac:dyDescent="0.3">
      <c r="B769" s="7"/>
      <c r="C769" s="10"/>
      <c r="D769" s="12"/>
      <c r="E769" s="7"/>
      <c r="F769" s="7"/>
      <c r="G769" s="7"/>
      <c r="H769" s="10"/>
      <c r="I769" s="19"/>
      <c r="J769" s="10"/>
      <c r="K769" s="10"/>
    </row>
    <row r="770" spans="2:11" ht="14.25" customHeight="1" x14ac:dyDescent="0.3">
      <c r="B770" s="7"/>
      <c r="C770" s="10"/>
      <c r="D770" s="12"/>
      <c r="E770" s="7"/>
      <c r="F770" s="7"/>
      <c r="G770" s="7"/>
      <c r="H770" s="10"/>
      <c r="I770" s="19"/>
      <c r="J770" s="10"/>
      <c r="K770" s="10"/>
    </row>
    <row r="771" spans="2:11" ht="14.25" customHeight="1" x14ac:dyDescent="0.3">
      <c r="B771" s="7"/>
      <c r="C771" s="10"/>
      <c r="D771" s="12"/>
      <c r="E771" s="7"/>
      <c r="F771" s="7"/>
      <c r="G771" s="7"/>
      <c r="H771" s="10"/>
      <c r="I771" s="19"/>
      <c r="J771" s="10"/>
      <c r="K771" s="10"/>
    </row>
    <row r="772" spans="2:11" ht="14.25" customHeight="1" x14ac:dyDescent="0.3">
      <c r="B772" s="7"/>
      <c r="C772" s="10"/>
      <c r="D772" s="12"/>
      <c r="E772" s="7"/>
      <c r="F772" s="7"/>
      <c r="G772" s="7"/>
      <c r="H772" s="10"/>
      <c r="I772" s="19"/>
      <c r="J772" s="10"/>
      <c r="K772" s="10"/>
    </row>
    <row r="773" spans="2:11" ht="14.25" customHeight="1" x14ac:dyDescent="0.3">
      <c r="B773" s="7"/>
      <c r="C773" s="10"/>
      <c r="D773" s="12"/>
      <c r="E773" s="7"/>
      <c r="F773" s="7"/>
      <c r="G773" s="7"/>
      <c r="H773" s="10"/>
      <c r="I773" s="19"/>
      <c r="J773" s="10"/>
      <c r="K773" s="10"/>
    </row>
    <row r="774" spans="2:11" ht="14.25" customHeight="1" x14ac:dyDescent="0.3">
      <c r="B774" s="7"/>
      <c r="C774" s="10"/>
      <c r="D774" s="12"/>
      <c r="E774" s="7"/>
      <c r="F774" s="7"/>
      <c r="G774" s="7"/>
      <c r="H774" s="10"/>
      <c r="I774" s="19"/>
      <c r="J774" s="10"/>
      <c r="K774" s="10"/>
    </row>
    <row r="775" spans="2:11" ht="14.25" customHeight="1" x14ac:dyDescent="0.3">
      <c r="B775" s="7"/>
      <c r="C775" s="10"/>
      <c r="D775" s="12"/>
      <c r="E775" s="7"/>
      <c r="F775" s="7"/>
      <c r="G775" s="7"/>
      <c r="H775" s="10"/>
      <c r="I775" s="19"/>
      <c r="J775" s="10"/>
      <c r="K775" s="10"/>
    </row>
    <row r="776" spans="2:11" ht="14.25" customHeight="1" x14ac:dyDescent="0.3">
      <c r="B776" s="7"/>
      <c r="C776" s="10"/>
      <c r="D776" s="12"/>
      <c r="E776" s="7"/>
      <c r="F776" s="7"/>
      <c r="G776" s="7"/>
      <c r="H776" s="10"/>
      <c r="I776" s="19"/>
      <c r="J776" s="10"/>
      <c r="K776" s="10"/>
    </row>
    <row r="777" spans="2:11" ht="14.25" customHeight="1" x14ac:dyDescent="0.3">
      <c r="B777" s="7"/>
      <c r="C777" s="10"/>
      <c r="D777" s="12"/>
      <c r="E777" s="7"/>
      <c r="F777" s="7"/>
      <c r="G777" s="7"/>
      <c r="H777" s="10"/>
      <c r="I777" s="19"/>
      <c r="J777" s="10"/>
      <c r="K777" s="10"/>
    </row>
    <row r="778" spans="2:11" ht="14.25" customHeight="1" x14ac:dyDescent="0.3">
      <c r="B778" s="7"/>
      <c r="C778" s="10"/>
      <c r="D778" s="12"/>
      <c r="E778" s="7"/>
      <c r="F778" s="7"/>
      <c r="G778" s="7"/>
      <c r="H778" s="10"/>
      <c r="I778" s="19"/>
      <c r="J778" s="10"/>
      <c r="K778" s="10"/>
    </row>
    <row r="779" spans="2:11" ht="14.25" customHeight="1" x14ac:dyDescent="0.3">
      <c r="B779" s="7"/>
      <c r="C779" s="10"/>
      <c r="D779" s="12"/>
      <c r="E779" s="7"/>
      <c r="F779" s="7"/>
      <c r="G779" s="7"/>
      <c r="H779" s="10"/>
      <c r="I779" s="19"/>
      <c r="J779" s="10"/>
      <c r="K779" s="10"/>
    </row>
    <row r="780" spans="2:11" ht="14.25" customHeight="1" x14ac:dyDescent="0.3">
      <c r="B780" s="7"/>
      <c r="C780" s="10"/>
      <c r="D780" s="12"/>
      <c r="E780" s="7"/>
      <c r="F780" s="7"/>
      <c r="G780" s="7"/>
      <c r="H780" s="10"/>
      <c r="I780" s="19"/>
      <c r="J780" s="10"/>
      <c r="K780" s="10"/>
    </row>
    <row r="781" spans="2:11" ht="14.25" customHeight="1" x14ac:dyDescent="0.3">
      <c r="B781" s="7"/>
      <c r="C781" s="10"/>
      <c r="D781" s="12"/>
      <c r="E781" s="7"/>
      <c r="F781" s="7"/>
      <c r="G781" s="7"/>
      <c r="H781" s="10"/>
      <c r="I781" s="19"/>
      <c r="J781" s="10"/>
      <c r="K781" s="10"/>
    </row>
    <row r="782" spans="2:11" ht="14.25" customHeight="1" x14ac:dyDescent="0.3">
      <c r="B782" s="7"/>
      <c r="C782" s="10"/>
      <c r="D782" s="12"/>
      <c r="E782" s="7"/>
      <c r="F782" s="7"/>
      <c r="G782" s="7"/>
      <c r="H782" s="10"/>
      <c r="I782" s="19"/>
      <c r="J782" s="10"/>
      <c r="K782" s="10"/>
    </row>
    <row r="783" spans="2:11" ht="14.25" customHeight="1" x14ac:dyDescent="0.3">
      <c r="B783" s="7"/>
      <c r="C783" s="10"/>
      <c r="D783" s="12"/>
      <c r="E783" s="7"/>
      <c r="F783" s="7"/>
      <c r="G783" s="7"/>
      <c r="H783" s="10"/>
      <c r="I783" s="19"/>
      <c r="J783" s="10"/>
      <c r="K783" s="10"/>
    </row>
    <row r="784" spans="2:11" ht="14.25" customHeight="1" x14ac:dyDescent="0.3">
      <c r="B784" s="7"/>
      <c r="C784" s="10"/>
      <c r="D784" s="12"/>
      <c r="E784" s="7"/>
      <c r="F784" s="7"/>
      <c r="G784" s="7"/>
      <c r="H784" s="10"/>
      <c r="I784" s="19"/>
      <c r="J784" s="10"/>
      <c r="K784" s="10"/>
    </row>
    <row r="785" spans="2:11" ht="14.25" customHeight="1" x14ac:dyDescent="0.3">
      <c r="B785" s="7"/>
      <c r="C785" s="10"/>
      <c r="D785" s="12"/>
      <c r="E785" s="7"/>
      <c r="F785" s="7"/>
      <c r="G785" s="7"/>
      <c r="H785" s="10"/>
      <c r="I785" s="19"/>
      <c r="J785" s="10"/>
      <c r="K785" s="10"/>
    </row>
    <row r="786" spans="2:11" ht="14.25" customHeight="1" x14ac:dyDescent="0.3">
      <c r="B786" s="7"/>
      <c r="C786" s="10"/>
      <c r="D786" s="12"/>
      <c r="E786" s="7"/>
      <c r="F786" s="7"/>
      <c r="G786" s="7"/>
      <c r="H786" s="10"/>
      <c r="I786" s="19"/>
      <c r="J786" s="10"/>
      <c r="K786" s="10"/>
    </row>
    <row r="787" spans="2:11" ht="14.25" customHeight="1" x14ac:dyDescent="0.3">
      <c r="B787" s="7"/>
      <c r="C787" s="10"/>
      <c r="D787" s="12"/>
      <c r="E787" s="7"/>
      <c r="F787" s="7"/>
      <c r="G787" s="7"/>
      <c r="H787" s="10"/>
      <c r="I787" s="19"/>
      <c r="J787" s="10"/>
      <c r="K787" s="10"/>
    </row>
    <row r="788" spans="2:11" ht="14.25" customHeight="1" x14ac:dyDescent="0.3">
      <c r="B788" s="7"/>
      <c r="C788" s="10"/>
      <c r="D788" s="12"/>
      <c r="E788" s="7"/>
      <c r="F788" s="7"/>
      <c r="G788" s="7"/>
      <c r="H788" s="10"/>
      <c r="I788" s="19"/>
      <c r="J788" s="10"/>
      <c r="K788" s="10"/>
    </row>
    <row r="789" spans="2:11" ht="14.25" customHeight="1" x14ac:dyDescent="0.3">
      <c r="B789" s="7"/>
      <c r="C789" s="10"/>
      <c r="D789" s="12"/>
      <c r="E789" s="7"/>
      <c r="F789" s="7"/>
      <c r="G789" s="7"/>
      <c r="H789" s="10"/>
      <c r="I789" s="19"/>
      <c r="J789" s="10"/>
      <c r="K789" s="10"/>
    </row>
    <row r="790" spans="2:11" ht="14.25" customHeight="1" x14ac:dyDescent="0.3">
      <c r="B790" s="7"/>
      <c r="C790" s="10"/>
      <c r="D790" s="12"/>
      <c r="E790" s="7"/>
      <c r="F790" s="7"/>
      <c r="G790" s="7"/>
      <c r="H790" s="10"/>
      <c r="I790" s="19"/>
      <c r="J790" s="10"/>
      <c r="K790" s="10"/>
    </row>
    <row r="791" spans="2:11" ht="14.25" customHeight="1" x14ac:dyDescent="0.3">
      <c r="B791" s="7"/>
      <c r="C791" s="10"/>
      <c r="D791" s="12"/>
      <c r="E791" s="7"/>
      <c r="F791" s="7"/>
      <c r="G791" s="7"/>
      <c r="H791" s="10"/>
      <c r="I791" s="19"/>
      <c r="J791" s="10"/>
      <c r="K791" s="10"/>
    </row>
    <row r="792" spans="2:11" ht="14.25" customHeight="1" x14ac:dyDescent="0.3">
      <c r="B792" s="7"/>
      <c r="C792" s="10"/>
      <c r="D792" s="12"/>
      <c r="E792" s="7"/>
      <c r="F792" s="7"/>
      <c r="G792" s="7"/>
      <c r="H792" s="10"/>
      <c r="I792" s="19"/>
      <c r="J792" s="10"/>
      <c r="K792" s="10"/>
    </row>
    <row r="793" spans="2:11" ht="14.25" customHeight="1" x14ac:dyDescent="0.3">
      <c r="B793" s="7"/>
      <c r="C793" s="10"/>
      <c r="D793" s="12"/>
      <c r="E793" s="7"/>
      <c r="F793" s="7"/>
      <c r="G793" s="7"/>
      <c r="H793" s="10"/>
      <c r="I793" s="19"/>
      <c r="J793" s="10"/>
      <c r="K793" s="10"/>
    </row>
    <row r="794" spans="2:11" ht="14.25" customHeight="1" x14ac:dyDescent="0.3">
      <c r="B794" s="7"/>
      <c r="C794" s="10"/>
      <c r="D794" s="12"/>
      <c r="E794" s="7"/>
      <c r="F794" s="7"/>
      <c r="G794" s="7"/>
      <c r="H794" s="10"/>
      <c r="I794" s="19"/>
      <c r="J794" s="10"/>
      <c r="K794" s="10"/>
    </row>
    <row r="795" spans="2:11" ht="14.25" customHeight="1" x14ac:dyDescent="0.3">
      <c r="B795" s="7"/>
      <c r="C795" s="10"/>
      <c r="D795" s="12"/>
      <c r="E795" s="7"/>
      <c r="F795" s="7"/>
      <c r="G795" s="7"/>
      <c r="H795" s="10"/>
      <c r="I795" s="19"/>
      <c r="J795" s="10"/>
      <c r="K795" s="10"/>
    </row>
    <row r="796" spans="2:11" ht="14.25" customHeight="1" x14ac:dyDescent="0.3">
      <c r="B796" s="7"/>
      <c r="C796" s="10"/>
      <c r="D796" s="12"/>
      <c r="E796" s="7"/>
      <c r="F796" s="7"/>
      <c r="G796" s="7"/>
      <c r="H796" s="10"/>
      <c r="I796" s="19"/>
      <c r="J796" s="10"/>
      <c r="K796" s="10"/>
    </row>
    <row r="797" spans="2:11" ht="14.25" customHeight="1" x14ac:dyDescent="0.3">
      <c r="B797" s="7"/>
      <c r="C797" s="10"/>
      <c r="D797" s="12"/>
      <c r="E797" s="7"/>
      <c r="F797" s="7"/>
      <c r="G797" s="7"/>
      <c r="H797" s="10"/>
      <c r="I797" s="19"/>
      <c r="J797" s="10"/>
      <c r="K797" s="10"/>
    </row>
    <row r="798" spans="2:11" ht="14.25" customHeight="1" x14ac:dyDescent="0.3">
      <c r="B798" s="7"/>
      <c r="C798" s="10"/>
      <c r="D798" s="12"/>
      <c r="E798" s="7"/>
      <c r="F798" s="7"/>
      <c r="G798" s="7"/>
      <c r="H798" s="10"/>
      <c r="I798" s="19"/>
      <c r="J798" s="10"/>
      <c r="K798" s="10"/>
    </row>
    <row r="799" spans="2:11" ht="14.25" customHeight="1" x14ac:dyDescent="0.3">
      <c r="B799" s="7"/>
      <c r="C799" s="10"/>
      <c r="D799" s="12"/>
      <c r="E799" s="7"/>
      <c r="F799" s="7"/>
      <c r="G799" s="7"/>
      <c r="H799" s="10"/>
      <c r="I799" s="19"/>
      <c r="J799" s="10"/>
      <c r="K799" s="10"/>
    </row>
    <row r="800" spans="2:11" ht="14.25" customHeight="1" x14ac:dyDescent="0.3">
      <c r="B800" s="7"/>
      <c r="C800" s="10"/>
      <c r="D800" s="12"/>
      <c r="E800" s="7"/>
      <c r="F800" s="7"/>
      <c r="G800" s="7"/>
      <c r="H800" s="10"/>
      <c r="I800" s="19"/>
      <c r="J800" s="10"/>
      <c r="K800" s="10"/>
    </row>
    <row r="801" spans="2:11" ht="14.25" customHeight="1" x14ac:dyDescent="0.3">
      <c r="B801" s="7"/>
      <c r="C801" s="10"/>
      <c r="D801" s="12"/>
      <c r="E801" s="7"/>
      <c r="F801" s="7"/>
      <c r="G801" s="7"/>
      <c r="H801" s="10"/>
      <c r="I801" s="19"/>
      <c r="J801" s="10"/>
      <c r="K801" s="10"/>
    </row>
    <row r="802" spans="2:11" ht="14.25" customHeight="1" x14ac:dyDescent="0.3">
      <c r="B802" s="7"/>
      <c r="C802" s="10"/>
      <c r="D802" s="12"/>
      <c r="E802" s="7"/>
      <c r="F802" s="7"/>
      <c r="G802" s="7"/>
      <c r="H802" s="10"/>
      <c r="I802" s="19"/>
      <c r="J802" s="10"/>
      <c r="K802" s="10"/>
    </row>
    <row r="803" spans="2:11" ht="14.25" customHeight="1" x14ac:dyDescent="0.3">
      <c r="B803" s="7"/>
      <c r="C803" s="10"/>
      <c r="D803" s="12"/>
      <c r="E803" s="7"/>
      <c r="F803" s="7"/>
      <c r="G803" s="7"/>
      <c r="H803" s="10"/>
      <c r="I803" s="19"/>
      <c r="J803" s="10"/>
      <c r="K803" s="10"/>
    </row>
    <row r="804" spans="2:11" ht="14.25" customHeight="1" x14ac:dyDescent="0.3">
      <c r="B804" s="7"/>
      <c r="C804" s="10"/>
      <c r="D804" s="12"/>
      <c r="E804" s="7"/>
      <c r="F804" s="7"/>
      <c r="G804" s="7"/>
      <c r="H804" s="10"/>
      <c r="I804" s="19"/>
      <c r="J804" s="10"/>
      <c r="K804" s="10"/>
    </row>
    <row r="805" spans="2:11" ht="14.25" customHeight="1" x14ac:dyDescent="0.3">
      <c r="B805" s="7"/>
      <c r="C805" s="10"/>
      <c r="D805" s="12"/>
      <c r="E805" s="7"/>
      <c r="F805" s="7"/>
      <c r="G805" s="7"/>
      <c r="H805" s="10"/>
      <c r="I805" s="19"/>
      <c r="J805" s="10"/>
      <c r="K805" s="10"/>
    </row>
    <row r="806" spans="2:11" ht="14.25" customHeight="1" x14ac:dyDescent="0.3">
      <c r="B806" s="7"/>
      <c r="C806" s="10"/>
      <c r="D806" s="12"/>
      <c r="E806" s="7"/>
      <c r="F806" s="7"/>
      <c r="G806" s="7"/>
      <c r="H806" s="10"/>
      <c r="I806" s="19"/>
      <c r="J806" s="10"/>
      <c r="K806" s="10"/>
    </row>
    <row r="807" spans="2:11" ht="14.25" customHeight="1" x14ac:dyDescent="0.3">
      <c r="B807" s="7"/>
      <c r="C807" s="10"/>
      <c r="D807" s="12"/>
      <c r="E807" s="7"/>
      <c r="F807" s="7"/>
      <c r="G807" s="7"/>
      <c r="H807" s="10"/>
      <c r="I807" s="19"/>
      <c r="J807" s="10"/>
      <c r="K807" s="10"/>
    </row>
    <row r="808" spans="2:11" ht="14.25" customHeight="1" x14ac:dyDescent="0.3">
      <c r="B808" s="7"/>
      <c r="C808" s="10"/>
      <c r="D808" s="12"/>
      <c r="E808" s="7"/>
      <c r="F808" s="7"/>
      <c r="G808" s="7"/>
      <c r="H808" s="10"/>
      <c r="I808" s="19"/>
      <c r="J808" s="10"/>
      <c r="K808" s="10"/>
    </row>
    <row r="809" spans="2:11" ht="14.25" customHeight="1" x14ac:dyDescent="0.3">
      <c r="B809" s="7"/>
      <c r="C809" s="10"/>
      <c r="D809" s="12"/>
      <c r="E809" s="7"/>
      <c r="F809" s="7"/>
      <c r="G809" s="7"/>
      <c r="H809" s="10"/>
      <c r="I809" s="19"/>
      <c r="J809" s="10"/>
      <c r="K809" s="10"/>
    </row>
    <row r="810" spans="2:11" ht="14.25" customHeight="1" x14ac:dyDescent="0.3">
      <c r="B810" s="7"/>
      <c r="C810" s="10"/>
      <c r="D810" s="12"/>
      <c r="E810" s="7"/>
      <c r="F810" s="7"/>
      <c r="G810" s="7"/>
      <c r="H810" s="10"/>
      <c r="I810" s="19"/>
      <c r="J810" s="10"/>
      <c r="K810" s="10"/>
    </row>
    <row r="811" spans="2:11" ht="14.25" customHeight="1" x14ac:dyDescent="0.3">
      <c r="B811" s="7"/>
      <c r="C811" s="10"/>
      <c r="D811" s="12"/>
      <c r="E811" s="7"/>
      <c r="F811" s="7"/>
      <c r="G811" s="7"/>
      <c r="H811" s="10"/>
      <c r="I811" s="19"/>
      <c r="J811" s="10"/>
      <c r="K811" s="10"/>
    </row>
    <row r="812" spans="2:11" ht="14.25" customHeight="1" x14ac:dyDescent="0.3">
      <c r="B812" s="7"/>
      <c r="C812" s="10"/>
      <c r="D812" s="12"/>
      <c r="E812" s="7"/>
      <c r="F812" s="7"/>
      <c r="G812" s="7"/>
      <c r="H812" s="10"/>
      <c r="I812" s="19"/>
      <c r="J812" s="10"/>
      <c r="K812" s="10"/>
    </row>
    <row r="813" spans="2:11" ht="14.25" customHeight="1" x14ac:dyDescent="0.3">
      <c r="B813" s="7"/>
      <c r="C813" s="10"/>
      <c r="D813" s="12"/>
      <c r="E813" s="7"/>
      <c r="F813" s="7"/>
      <c r="G813" s="7"/>
      <c r="H813" s="10"/>
      <c r="I813" s="19"/>
      <c r="J813" s="10"/>
      <c r="K813" s="10"/>
    </row>
    <row r="814" spans="2:11" ht="14.25" customHeight="1" x14ac:dyDescent="0.3">
      <c r="B814" s="7"/>
      <c r="C814" s="10"/>
      <c r="D814" s="12"/>
      <c r="E814" s="7"/>
      <c r="F814" s="7"/>
      <c r="G814" s="7"/>
      <c r="H814" s="10"/>
      <c r="I814" s="19"/>
      <c r="J814" s="10"/>
      <c r="K814" s="10"/>
    </row>
    <row r="815" spans="2:11" ht="14.25" customHeight="1" x14ac:dyDescent="0.3">
      <c r="B815" s="7"/>
      <c r="C815" s="10"/>
      <c r="D815" s="12"/>
      <c r="E815" s="7"/>
      <c r="F815" s="7"/>
      <c r="G815" s="7"/>
      <c r="H815" s="10"/>
      <c r="I815" s="19"/>
      <c r="J815" s="10"/>
      <c r="K815" s="10"/>
    </row>
    <row r="816" spans="2:11" ht="14.25" customHeight="1" x14ac:dyDescent="0.3">
      <c r="B816" s="7"/>
      <c r="C816" s="10"/>
      <c r="D816" s="12"/>
      <c r="E816" s="7"/>
      <c r="F816" s="7"/>
      <c r="G816" s="7"/>
      <c r="H816" s="10"/>
      <c r="I816" s="19"/>
      <c r="J816" s="10"/>
      <c r="K816" s="10"/>
    </row>
    <row r="817" spans="2:11" ht="14.25" customHeight="1" x14ac:dyDescent="0.3">
      <c r="B817" s="7"/>
      <c r="C817" s="10"/>
      <c r="D817" s="12"/>
      <c r="E817" s="7"/>
      <c r="F817" s="7"/>
      <c r="G817" s="7"/>
      <c r="H817" s="10"/>
      <c r="I817" s="19"/>
      <c r="J817" s="10"/>
      <c r="K817" s="10"/>
    </row>
    <row r="818" spans="2:11" ht="14.25" customHeight="1" x14ac:dyDescent="0.3">
      <c r="B818" s="7"/>
      <c r="C818" s="10"/>
      <c r="D818" s="12"/>
      <c r="E818" s="7"/>
      <c r="F818" s="7"/>
      <c r="G818" s="7"/>
      <c r="H818" s="10"/>
      <c r="I818" s="19"/>
      <c r="J818" s="10"/>
      <c r="K818" s="10"/>
    </row>
    <row r="819" spans="2:11" ht="14.25" customHeight="1" x14ac:dyDescent="0.3">
      <c r="B819" s="7"/>
      <c r="C819" s="10"/>
      <c r="D819" s="12"/>
      <c r="E819" s="7"/>
      <c r="F819" s="7"/>
      <c r="G819" s="7"/>
      <c r="H819" s="10"/>
      <c r="I819" s="19"/>
      <c r="J819" s="10"/>
      <c r="K819" s="10"/>
    </row>
    <row r="820" spans="2:11" ht="14.25" customHeight="1" x14ac:dyDescent="0.3">
      <c r="B820" s="7"/>
      <c r="C820" s="10"/>
      <c r="D820" s="12"/>
      <c r="E820" s="7"/>
      <c r="F820" s="7"/>
      <c r="G820" s="7"/>
      <c r="H820" s="10"/>
      <c r="I820" s="19"/>
      <c r="J820" s="10"/>
      <c r="K820" s="10"/>
    </row>
    <row r="821" spans="2:11" ht="14.25" customHeight="1" x14ac:dyDescent="0.3">
      <c r="B821" s="7"/>
      <c r="C821" s="10"/>
      <c r="D821" s="12"/>
      <c r="E821" s="7"/>
      <c r="F821" s="7"/>
      <c r="G821" s="7"/>
      <c r="H821" s="10"/>
      <c r="I821" s="19"/>
      <c r="J821" s="10"/>
      <c r="K821" s="10"/>
    </row>
    <row r="822" spans="2:11" ht="14.25" customHeight="1" x14ac:dyDescent="0.3">
      <c r="B822" s="7"/>
      <c r="C822" s="10"/>
      <c r="D822" s="12"/>
      <c r="E822" s="7"/>
      <c r="F822" s="7"/>
      <c r="G822" s="7"/>
      <c r="H822" s="10"/>
      <c r="I822" s="19"/>
      <c r="J822" s="10"/>
      <c r="K822" s="10"/>
    </row>
    <row r="823" spans="2:11" ht="14.25" customHeight="1" x14ac:dyDescent="0.3">
      <c r="B823" s="7"/>
      <c r="C823" s="10"/>
      <c r="D823" s="12"/>
      <c r="E823" s="7"/>
      <c r="F823" s="7"/>
      <c r="G823" s="7"/>
      <c r="H823" s="10"/>
      <c r="I823" s="19"/>
      <c r="J823" s="10"/>
      <c r="K823" s="10"/>
    </row>
    <row r="824" spans="2:11" ht="14.25" customHeight="1" x14ac:dyDescent="0.3">
      <c r="B824" s="7"/>
      <c r="C824" s="10"/>
      <c r="D824" s="12"/>
      <c r="E824" s="7"/>
      <c r="F824" s="7"/>
      <c r="G824" s="7"/>
      <c r="H824" s="10"/>
      <c r="I824" s="19"/>
      <c r="J824" s="10"/>
      <c r="K824" s="10"/>
    </row>
    <row r="825" spans="2:11" ht="14.25" customHeight="1" x14ac:dyDescent="0.3">
      <c r="B825" s="7"/>
      <c r="C825" s="10"/>
      <c r="D825" s="12"/>
      <c r="E825" s="7"/>
      <c r="F825" s="7"/>
      <c r="G825" s="7"/>
      <c r="H825" s="10"/>
      <c r="I825" s="19"/>
      <c r="J825" s="10"/>
      <c r="K825" s="10"/>
    </row>
    <row r="826" spans="2:11" ht="14.25" customHeight="1" x14ac:dyDescent="0.3">
      <c r="B826" s="7"/>
      <c r="C826" s="10"/>
      <c r="D826" s="12"/>
      <c r="E826" s="7"/>
      <c r="F826" s="7"/>
      <c r="G826" s="7"/>
      <c r="H826" s="10"/>
      <c r="I826" s="19"/>
      <c r="J826" s="10"/>
      <c r="K826" s="10"/>
    </row>
    <row r="827" spans="2:11" ht="14.25" customHeight="1" x14ac:dyDescent="0.3">
      <c r="B827" s="7"/>
      <c r="C827" s="10"/>
      <c r="D827" s="12"/>
      <c r="E827" s="7"/>
      <c r="F827" s="7"/>
      <c r="G827" s="7"/>
      <c r="H827" s="10"/>
      <c r="I827" s="19"/>
      <c r="J827" s="10"/>
      <c r="K827" s="10"/>
    </row>
    <row r="828" spans="2:11" ht="14.25" customHeight="1" x14ac:dyDescent="0.3">
      <c r="B828" s="7"/>
      <c r="C828" s="10"/>
      <c r="D828" s="12"/>
      <c r="E828" s="7"/>
      <c r="F828" s="7"/>
      <c r="G828" s="7"/>
      <c r="H828" s="10"/>
      <c r="I828" s="19"/>
      <c r="J828" s="10"/>
      <c r="K828" s="10"/>
    </row>
    <row r="829" spans="2:11" ht="14.25" customHeight="1" x14ac:dyDescent="0.3">
      <c r="B829" s="7"/>
      <c r="C829" s="10"/>
      <c r="D829" s="12"/>
      <c r="E829" s="7"/>
      <c r="F829" s="7"/>
      <c r="G829" s="7"/>
      <c r="H829" s="10"/>
      <c r="I829" s="19"/>
      <c r="J829" s="10"/>
      <c r="K829" s="10"/>
    </row>
    <row r="830" spans="2:11" ht="14.25" customHeight="1" x14ac:dyDescent="0.3">
      <c r="B830" s="7"/>
      <c r="C830" s="10"/>
      <c r="D830" s="12"/>
      <c r="E830" s="7"/>
      <c r="F830" s="7"/>
      <c r="G830" s="7"/>
      <c r="H830" s="10"/>
      <c r="I830" s="19"/>
      <c r="J830" s="10"/>
      <c r="K830" s="10"/>
    </row>
    <row r="831" spans="2:11" ht="14.25" customHeight="1" x14ac:dyDescent="0.3">
      <c r="B831" s="7"/>
      <c r="C831" s="10"/>
      <c r="D831" s="12"/>
      <c r="E831" s="7"/>
      <c r="F831" s="7"/>
      <c r="G831" s="7"/>
      <c r="H831" s="10"/>
      <c r="I831" s="19"/>
      <c r="J831" s="10"/>
      <c r="K831" s="10"/>
    </row>
    <row r="832" spans="2:11" ht="14.25" customHeight="1" x14ac:dyDescent="0.3">
      <c r="B832" s="7"/>
      <c r="C832" s="10"/>
      <c r="D832" s="12"/>
      <c r="E832" s="7"/>
      <c r="F832" s="7"/>
      <c r="G832" s="7"/>
      <c r="H832" s="10"/>
      <c r="I832" s="19"/>
      <c r="J832" s="10"/>
      <c r="K832" s="10"/>
    </row>
    <row r="833" spans="2:11" ht="14.25" customHeight="1" x14ac:dyDescent="0.3">
      <c r="B833" s="7"/>
      <c r="C833" s="10"/>
      <c r="D833" s="12"/>
      <c r="E833" s="7"/>
      <c r="F833" s="7"/>
      <c r="G833" s="7"/>
      <c r="H833" s="10"/>
      <c r="I833" s="19"/>
      <c r="J833" s="10"/>
      <c r="K833" s="10"/>
    </row>
    <row r="834" spans="2:11" ht="14.25" customHeight="1" x14ac:dyDescent="0.3">
      <c r="B834" s="7"/>
      <c r="C834" s="10"/>
      <c r="D834" s="12"/>
      <c r="E834" s="7"/>
      <c r="F834" s="7"/>
      <c r="G834" s="7"/>
      <c r="H834" s="10"/>
      <c r="I834" s="19"/>
      <c r="J834" s="10"/>
      <c r="K834" s="10"/>
    </row>
    <row r="835" spans="2:11" ht="14.25" customHeight="1" x14ac:dyDescent="0.3">
      <c r="B835" s="7"/>
      <c r="C835" s="10"/>
      <c r="D835" s="12"/>
      <c r="E835" s="7"/>
      <c r="F835" s="7"/>
      <c r="G835" s="7"/>
      <c r="H835" s="10"/>
      <c r="I835" s="19"/>
      <c r="J835" s="10"/>
      <c r="K835" s="10"/>
    </row>
    <row r="836" spans="2:11" ht="14.25" customHeight="1" x14ac:dyDescent="0.3">
      <c r="B836" s="7"/>
      <c r="C836" s="10"/>
      <c r="D836" s="12"/>
      <c r="E836" s="7"/>
      <c r="F836" s="7"/>
      <c r="G836" s="7"/>
      <c r="H836" s="10"/>
      <c r="I836" s="19"/>
      <c r="J836" s="10"/>
      <c r="K836" s="10"/>
    </row>
    <row r="837" spans="2:11" ht="14.25" customHeight="1" x14ac:dyDescent="0.3">
      <c r="B837" s="7"/>
      <c r="C837" s="10"/>
      <c r="D837" s="12"/>
      <c r="E837" s="7"/>
      <c r="F837" s="7"/>
      <c r="G837" s="7"/>
      <c r="H837" s="10"/>
      <c r="I837" s="19"/>
      <c r="J837" s="10"/>
      <c r="K837" s="10"/>
    </row>
    <row r="838" spans="2:11" ht="14.25" customHeight="1" x14ac:dyDescent="0.3">
      <c r="B838" s="7"/>
      <c r="C838" s="10"/>
      <c r="D838" s="12"/>
      <c r="E838" s="7"/>
      <c r="F838" s="7"/>
      <c r="G838" s="7"/>
      <c r="H838" s="10"/>
      <c r="I838" s="19"/>
      <c r="J838" s="10"/>
      <c r="K838" s="10"/>
    </row>
    <row r="839" spans="2:11" ht="14.25" customHeight="1" x14ac:dyDescent="0.3">
      <c r="B839" s="7"/>
      <c r="C839" s="10"/>
      <c r="D839" s="12"/>
      <c r="E839" s="7"/>
      <c r="F839" s="7"/>
      <c r="G839" s="7"/>
      <c r="H839" s="10"/>
      <c r="I839" s="19"/>
      <c r="J839" s="10"/>
      <c r="K839" s="10"/>
    </row>
    <row r="840" spans="2:11" ht="14.25" customHeight="1" x14ac:dyDescent="0.3">
      <c r="B840" s="7"/>
      <c r="C840" s="10"/>
      <c r="D840" s="12"/>
      <c r="E840" s="7"/>
      <c r="F840" s="7"/>
      <c r="G840" s="7"/>
      <c r="H840" s="10"/>
      <c r="I840" s="19"/>
      <c r="J840" s="10"/>
      <c r="K840" s="10"/>
    </row>
    <row r="841" spans="2:11" ht="14.25" customHeight="1" x14ac:dyDescent="0.3">
      <c r="B841" s="7"/>
      <c r="C841" s="10"/>
      <c r="D841" s="12"/>
      <c r="E841" s="7"/>
      <c r="F841" s="7"/>
      <c r="G841" s="7"/>
      <c r="H841" s="10"/>
      <c r="I841" s="19"/>
      <c r="J841" s="10"/>
      <c r="K841" s="10"/>
    </row>
    <row r="842" spans="2:11" ht="14.25" customHeight="1" x14ac:dyDescent="0.3">
      <c r="B842" s="7"/>
      <c r="C842" s="10"/>
      <c r="D842" s="12"/>
      <c r="E842" s="7"/>
      <c r="F842" s="7"/>
      <c r="G842" s="7"/>
      <c r="H842" s="10"/>
      <c r="I842" s="19"/>
      <c r="J842" s="10"/>
      <c r="K842" s="10"/>
    </row>
    <row r="843" spans="2:11" ht="14.25" customHeight="1" x14ac:dyDescent="0.3">
      <c r="B843" s="7"/>
      <c r="C843" s="10"/>
      <c r="D843" s="12"/>
      <c r="E843" s="7"/>
      <c r="F843" s="7"/>
      <c r="G843" s="7"/>
      <c r="H843" s="10"/>
      <c r="I843" s="19"/>
      <c r="J843" s="10"/>
      <c r="K843" s="10"/>
    </row>
    <row r="844" spans="2:11" ht="14.25" customHeight="1" x14ac:dyDescent="0.3">
      <c r="B844" s="7"/>
      <c r="C844" s="10"/>
      <c r="D844" s="12"/>
      <c r="E844" s="7"/>
      <c r="F844" s="7"/>
      <c r="G844" s="7"/>
      <c r="H844" s="10"/>
      <c r="I844" s="19"/>
      <c r="J844" s="10"/>
      <c r="K844" s="10"/>
    </row>
    <row r="845" spans="2:11" ht="14.25" customHeight="1" x14ac:dyDescent="0.3">
      <c r="B845" s="7"/>
      <c r="C845" s="10"/>
      <c r="D845" s="12"/>
      <c r="E845" s="7"/>
      <c r="F845" s="7"/>
      <c r="G845" s="7"/>
      <c r="H845" s="10"/>
      <c r="I845" s="19"/>
      <c r="J845" s="10"/>
      <c r="K845" s="10"/>
    </row>
    <row r="846" spans="2:11" ht="14.25" customHeight="1" x14ac:dyDescent="0.3">
      <c r="B846" s="7"/>
      <c r="C846" s="10"/>
      <c r="D846" s="12"/>
      <c r="E846" s="7"/>
      <c r="F846" s="7"/>
      <c r="G846" s="7"/>
      <c r="H846" s="10"/>
      <c r="I846" s="19"/>
      <c r="J846" s="10"/>
      <c r="K846" s="10"/>
    </row>
    <row r="847" spans="2:11" ht="14.25" customHeight="1" x14ac:dyDescent="0.3">
      <c r="B847" s="7"/>
      <c r="C847" s="10"/>
      <c r="D847" s="12"/>
      <c r="E847" s="7"/>
      <c r="F847" s="7"/>
      <c r="G847" s="7"/>
      <c r="H847" s="10"/>
      <c r="I847" s="19"/>
      <c r="J847" s="10"/>
      <c r="K847" s="10"/>
    </row>
    <row r="848" spans="2:11" ht="14.25" customHeight="1" x14ac:dyDescent="0.3">
      <c r="B848" s="7"/>
      <c r="C848" s="10"/>
      <c r="D848" s="12"/>
      <c r="E848" s="7"/>
      <c r="F848" s="7"/>
      <c r="G848" s="7"/>
      <c r="H848" s="10"/>
      <c r="I848" s="19"/>
      <c r="J848" s="10"/>
      <c r="K848" s="10"/>
    </row>
    <row r="849" spans="2:11" ht="14.25" customHeight="1" x14ac:dyDescent="0.3">
      <c r="B849" s="7"/>
      <c r="C849" s="10"/>
      <c r="D849" s="12"/>
      <c r="E849" s="7"/>
      <c r="F849" s="7"/>
      <c r="G849" s="7"/>
      <c r="H849" s="10"/>
      <c r="I849" s="19"/>
      <c r="J849" s="10"/>
      <c r="K849" s="10"/>
    </row>
    <row r="850" spans="2:11" ht="14.25" customHeight="1" x14ac:dyDescent="0.3">
      <c r="B850" s="7"/>
      <c r="C850" s="10"/>
      <c r="D850" s="12"/>
      <c r="E850" s="7"/>
      <c r="F850" s="7"/>
      <c r="G850" s="7"/>
      <c r="H850" s="10"/>
      <c r="I850" s="19"/>
      <c r="J850" s="10"/>
      <c r="K850" s="10"/>
    </row>
    <row r="851" spans="2:11" ht="14.25" customHeight="1" x14ac:dyDescent="0.3">
      <c r="B851" s="7"/>
      <c r="C851" s="10"/>
      <c r="D851" s="12"/>
      <c r="E851" s="7"/>
      <c r="F851" s="7"/>
      <c r="G851" s="7"/>
      <c r="H851" s="10"/>
      <c r="I851" s="19"/>
      <c r="J851" s="10"/>
      <c r="K851" s="10"/>
    </row>
    <row r="852" spans="2:11" ht="14.25" customHeight="1" x14ac:dyDescent="0.3">
      <c r="B852" s="7"/>
      <c r="C852" s="10"/>
      <c r="D852" s="12"/>
      <c r="E852" s="7"/>
      <c r="F852" s="7"/>
      <c r="G852" s="7"/>
      <c r="H852" s="10"/>
      <c r="I852" s="19"/>
      <c r="J852" s="10"/>
      <c r="K852" s="10"/>
    </row>
    <row r="853" spans="2:11" ht="14.25" customHeight="1" x14ac:dyDescent="0.3">
      <c r="B853" s="7"/>
      <c r="C853" s="10"/>
      <c r="D853" s="12"/>
      <c r="E853" s="7"/>
      <c r="F853" s="7"/>
      <c r="G853" s="7"/>
      <c r="H853" s="10"/>
      <c r="I853" s="19"/>
      <c r="J853" s="10"/>
      <c r="K853" s="10"/>
    </row>
    <row r="854" spans="2:11" ht="14.25" customHeight="1" x14ac:dyDescent="0.3">
      <c r="B854" s="7"/>
      <c r="C854" s="10"/>
      <c r="D854" s="12"/>
      <c r="E854" s="7"/>
      <c r="F854" s="7"/>
      <c r="G854" s="7"/>
      <c r="H854" s="10"/>
      <c r="I854" s="19"/>
      <c r="J854" s="10"/>
      <c r="K854" s="10"/>
    </row>
    <row r="855" spans="2:11" ht="14.25" customHeight="1" x14ac:dyDescent="0.3">
      <c r="B855" s="7"/>
      <c r="C855" s="10"/>
      <c r="D855" s="12"/>
      <c r="E855" s="7"/>
      <c r="F855" s="7"/>
      <c r="G855" s="7"/>
      <c r="H855" s="10"/>
      <c r="I855" s="19"/>
      <c r="J855" s="10"/>
      <c r="K855" s="10"/>
    </row>
    <row r="856" spans="2:11" ht="14.25" customHeight="1" x14ac:dyDescent="0.3">
      <c r="B856" s="7"/>
      <c r="C856" s="10"/>
      <c r="D856" s="12"/>
      <c r="E856" s="7"/>
      <c r="F856" s="7"/>
      <c r="G856" s="7"/>
      <c r="H856" s="10"/>
      <c r="I856" s="19"/>
      <c r="J856" s="10"/>
      <c r="K856" s="10"/>
    </row>
    <row r="857" spans="2:11" ht="14.25" customHeight="1" x14ac:dyDescent="0.3">
      <c r="B857" s="7"/>
      <c r="C857" s="10"/>
      <c r="D857" s="12"/>
      <c r="E857" s="7"/>
      <c r="F857" s="7"/>
      <c r="G857" s="7"/>
      <c r="H857" s="10"/>
      <c r="I857" s="19"/>
      <c r="J857" s="10"/>
      <c r="K857" s="10"/>
    </row>
    <row r="858" spans="2:11" ht="14.25" customHeight="1" x14ac:dyDescent="0.3">
      <c r="B858" s="7"/>
      <c r="C858" s="10"/>
      <c r="D858" s="12"/>
      <c r="E858" s="7"/>
      <c r="F858" s="7"/>
      <c r="G858" s="7"/>
      <c r="H858" s="10"/>
      <c r="I858" s="19"/>
      <c r="J858" s="10"/>
      <c r="K858" s="10"/>
    </row>
    <row r="859" spans="2:11" ht="14.25" customHeight="1" x14ac:dyDescent="0.3">
      <c r="B859" s="7"/>
      <c r="C859" s="10"/>
      <c r="D859" s="12"/>
      <c r="E859" s="7"/>
      <c r="F859" s="7"/>
      <c r="G859" s="7"/>
      <c r="H859" s="10"/>
      <c r="I859" s="19"/>
      <c r="J859" s="10"/>
      <c r="K859" s="10"/>
    </row>
    <row r="860" spans="2:11" ht="14.25" customHeight="1" x14ac:dyDescent="0.3">
      <c r="B860" s="7"/>
      <c r="C860" s="10"/>
      <c r="D860" s="12"/>
      <c r="E860" s="7"/>
      <c r="F860" s="7"/>
      <c r="G860" s="7"/>
      <c r="H860" s="10"/>
      <c r="I860" s="19"/>
      <c r="J860" s="10"/>
      <c r="K860" s="10"/>
    </row>
    <row r="861" spans="2:11" ht="14.25" customHeight="1" x14ac:dyDescent="0.3">
      <c r="B861" s="7"/>
      <c r="C861" s="10"/>
      <c r="D861" s="12"/>
      <c r="E861" s="7"/>
      <c r="F861" s="7"/>
      <c r="G861" s="7"/>
      <c r="H861" s="10"/>
      <c r="I861" s="19"/>
      <c r="J861" s="10"/>
      <c r="K861" s="10"/>
    </row>
    <row r="862" spans="2:11" ht="14.25" customHeight="1" x14ac:dyDescent="0.3">
      <c r="B862" s="7"/>
      <c r="C862" s="10"/>
      <c r="D862" s="12"/>
      <c r="E862" s="7"/>
      <c r="F862" s="7"/>
      <c r="G862" s="7"/>
      <c r="H862" s="10"/>
      <c r="I862" s="19"/>
      <c r="J862" s="10"/>
      <c r="K862" s="10"/>
    </row>
    <row r="863" spans="2:11" ht="14.25" customHeight="1" x14ac:dyDescent="0.3">
      <c r="B863" s="7"/>
      <c r="C863" s="10"/>
      <c r="D863" s="12"/>
      <c r="E863" s="7"/>
      <c r="F863" s="7"/>
      <c r="G863" s="7"/>
      <c r="H863" s="10"/>
      <c r="I863" s="19"/>
      <c r="J863" s="10"/>
      <c r="K863" s="10"/>
    </row>
    <row r="864" spans="2:11" ht="14.25" customHeight="1" x14ac:dyDescent="0.3">
      <c r="B864" s="7"/>
      <c r="C864" s="10"/>
      <c r="D864" s="12"/>
      <c r="E864" s="7"/>
      <c r="F864" s="7"/>
      <c r="G864" s="7"/>
      <c r="H864" s="10"/>
      <c r="I864" s="19"/>
      <c r="J864" s="10"/>
      <c r="K864" s="10"/>
    </row>
    <row r="865" spans="2:11" ht="14.25" customHeight="1" x14ac:dyDescent="0.3">
      <c r="B865" s="7"/>
      <c r="C865" s="10"/>
      <c r="D865" s="12"/>
      <c r="E865" s="7"/>
      <c r="F865" s="7"/>
      <c r="G865" s="7"/>
      <c r="H865" s="10"/>
      <c r="I865" s="19"/>
      <c r="J865" s="10"/>
      <c r="K865" s="10"/>
    </row>
    <row r="866" spans="2:11" ht="14.25" customHeight="1" x14ac:dyDescent="0.3">
      <c r="B866" s="7"/>
      <c r="C866" s="10"/>
      <c r="D866" s="12"/>
      <c r="E866" s="7"/>
      <c r="F866" s="7"/>
      <c r="G866" s="7"/>
      <c r="H866" s="10"/>
      <c r="I866" s="19"/>
      <c r="J866" s="10"/>
      <c r="K866" s="10"/>
    </row>
    <row r="867" spans="2:11" ht="14.25" customHeight="1" x14ac:dyDescent="0.3">
      <c r="B867" s="7"/>
      <c r="C867" s="10"/>
      <c r="D867" s="12"/>
      <c r="E867" s="7"/>
      <c r="F867" s="7"/>
      <c r="G867" s="7"/>
      <c r="H867" s="10"/>
      <c r="I867" s="19"/>
      <c r="J867" s="10"/>
      <c r="K867" s="10"/>
    </row>
    <row r="868" spans="2:11" ht="14.25" customHeight="1" x14ac:dyDescent="0.3">
      <c r="B868" s="7"/>
      <c r="C868" s="10"/>
      <c r="D868" s="12"/>
      <c r="E868" s="7"/>
      <c r="F868" s="7"/>
      <c r="G868" s="7"/>
      <c r="H868" s="10"/>
      <c r="I868" s="19"/>
      <c r="J868" s="10"/>
      <c r="K868" s="10"/>
    </row>
    <row r="869" spans="2:11" ht="14.25" customHeight="1" x14ac:dyDescent="0.3">
      <c r="B869" s="7"/>
      <c r="C869" s="10"/>
      <c r="D869" s="12"/>
      <c r="E869" s="7"/>
      <c r="F869" s="7"/>
      <c r="G869" s="7"/>
      <c r="H869" s="10"/>
      <c r="I869" s="19"/>
      <c r="J869" s="10"/>
      <c r="K869" s="10"/>
    </row>
    <row r="870" spans="2:11" ht="14.25" customHeight="1" x14ac:dyDescent="0.3">
      <c r="B870" s="7"/>
      <c r="C870" s="10"/>
      <c r="D870" s="12"/>
      <c r="E870" s="7"/>
      <c r="F870" s="7"/>
      <c r="G870" s="7"/>
      <c r="H870" s="10"/>
      <c r="I870" s="19"/>
      <c r="J870" s="10"/>
      <c r="K870" s="10"/>
    </row>
    <row r="871" spans="2:11" ht="14.25" customHeight="1" x14ac:dyDescent="0.3">
      <c r="B871" s="7"/>
      <c r="C871" s="10"/>
      <c r="D871" s="12"/>
      <c r="E871" s="7"/>
      <c r="F871" s="7"/>
      <c r="G871" s="7"/>
      <c r="H871" s="10"/>
      <c r="I871" s="19"/>
      <c r="J871" s="10"/>
      <c r="K871" s="10"/>
    </row>
    <row r="872" spans="2:11" ht="14.25" customHeight="1" x14ac:dyDescent="0.3">
      <c r="B872" s="7"/>
      <c r="C872" s="10"/>
      <c r="D872" s="12"/>
      <c r="E872" s="7"/>
      <c r="F872" s="7"/>
      <c r="G872" s="7"/>
      <c r="H872" s="10"/>
      <c r="I872" s="19"/>
      <c r="J872" s="10"/>
      <c r="K872" s="10"/>
    </row>
    <row r="873" spans="2:11" ht="14.25" customHeight="1" x14ac:dyDescent="0.3">
      <c r="B873" s="7"/>
      <c r="C873" s="10"/>
      <c r="D873" s="12"/>
      <c r="E873" s="7"/>
      <c r="F873" s="7"/>
      <c r="G873" s="7"/>
      <c r="H873" s="10"/>
      <c r="I873" s="19"/>
      <c r="J873" s="10"/>
      <c r="K873" s="10"/>
    </row>
    <row r="874" spans="2:11" ht="14.25" customHeight="1" x14ac:dyDescent="0.3">
      <c r="B874" s="7"/>
      <c r="C874" s="10"/>
      <c r="D874" s="12"/>
      <c r="E874" s="7"/>
      <c r="F874" s="7"/>
      <c r="G874" s="7"/>
      <c r="H874" s="10"/>
      <c r="I874" s="19"/>
      <c r="J874" s="10"/>
      <c r="K874" s="10"/>
    </row>
    <row r="875" spans="2:11" ht="14.25" customHeight="1" x14ac:dyDescent="0.3">
      <c r="B875" s="7"/>
      <c r="C875" s="10"/>
      <c r="D875" s="12"/>
      <c r="E875" s="7"/>
      <c r="F875" s="7"/>
      <c r="G875" s="7"/>
      <c r="H875" s="10"/>
      <c r="I875" s="19"/>
      <c r="J875" s="10"/>
      <c r="K875" s="10"/>
    </row>
    <row r="876" spans="2:11" ht="14.25" customHeight="1" x14ac:dyDescent="0.3">
      <c r="B876" s="7"/>
      <c r="C876" s="10"/>
      <c r="D876" s="12"/>
      <c r="E876" s="7"/>
      <c r="F876" s="7"/>
      <c r="G876" s="7"/>
      <c r="H876" s="10"/>
      <c r="I876" s="19"/>
      <c r="J876" s="10"/>
      <c r="K876" s="10"/>
    </row>
    <row r="877" spans="2:11" ht="14.25" customHeight="1" x14ac:dyDescent="0.3">
      <c r="B877" s="7"/>
      <c r="C877" s="10"/>
      <c r="D877" s="12"/>
      <c r="E877" s="7"/>
      <c r="F877" s="7"/>
      <c r="G877" s="7"/>
      <c r="H877" s="10"/>
      <c r="I877" s="19"/>
      <c r="J877" s="10"/>
      <c r="K877" s="10"/>
    </row>
    <row r="878" spans="2:11" ht="14.25" customHeight="1" x14ac:dyDescent="0.3">
      <c r="B878" s="7"/>
      <c r="C878" s="10"/>
      <c r="D878" s="12"/>
      <c r="E878" s="7"/>
      <c r="F878" s="7"/>
      <c r="G878" s="7"/>
      <c r="H878" s="10"/>
      <c r="I878" s="19"/>
      <c r="J878" s="10"/>
      <c r="K878" s="10"/>
    </row>
    <row r="879" spans="2:11" ht="14.25" customHeight="1" x14ac:dyDescent="0.3">
      <c r="B879" s="7"/>
      <c r="C879" s="10"/>
      <c r="D879" s="12"/>
      <c r="E879" s="7"/>
      <c r="F879" s="7"/>
      <c r="G879" s="7"/>
      <c r="H879" s="10"/>
      <c r="I879" s="19"/>
      <c r="J879" s="10"/>
      <c r="K879" s="10"/>
    </row>
    <row r="880" spans="2:11" ht="14.25" customHeight="1" x14ac:dyDescent="0.3">
      <c r="B880" s="7"/>
      <c r="C880" s="10"/>
      <c r="D880" s="12"/>
      <c r="E880" s="7"/>
      <c r="F880" s="7"/>
      <c r="G880" s="7"/>
      <c r="H880" s="10"/>
      <c r="I880" s="19"/>
      <c r="J880" s="10"/>
      <c r="K880" s="10"/>
    </row>
    <row r="881" spans="2:11" ht="14.25" customHeight="1" x14ac:dyDescent="0.3">
      <c r="B881" s="7"/>
      <c r="C881" s="10"/>
      <c r="D881" s="12"/>
      <c r="E881" s="7"/>
      <c r="F881" s="7"/>
      <c r="G881" s="7"/>
      <c r="H881" s="10"/>
      <c r="I881" s="19"/>
      <c r="J881" s="10"/>
      <c r="K881" s="10"/>
    </row>
    <row r="882" spans="2:11" ht="14.25" customHeight="1" x14ac:dyDescent="0.3">
      <c r="B882" s="7"/>
      <c r="C882" s="10"/>
      <c r="D882" s="12"/>
      <c r="E882" s="7"/>
      <c r="F882" s="7"/>
      <c r="G882" s="7"/>
      <c r="H882" s="10"/>
      <c r="I882" s="19"/>
      <c r="J882" s="10"/>
      <c r="K882" s="10"/>
    </row>
    <row r="883" spans="2:11" ht="14.25" customHeight="1" x14ac:dyDescent="0.3">
      <c r="B883" s="7"/>
      <c r="C883" s="10"/>
      <c r="D883" s="12"/>
      <c r="E883" s="7"/>
      <c r="F883" s="7"/>
      <c r="G883" s="7"/>
      <c r="H883" s="10"/>
      <c r="I883" s="19"/>
      <c r="J883" s="10"/>
      <c r="K883" s="10"/>
    </row>
    <row r="884" spans="2:11" ht="14.25" customHeight="1" x14ac:dyDescent="0.3">
      <c r="B884" s="7"/>
      <c r="C884" s="10"/>
      <c r="D884" s="12"/>
      <c r="E884" s="7"/>
      <c r="F884" s="7"/>
      <c r="G884" s="7"/>
      <c r="H884" s="10"/>
      <c r="I884" s="19"/>
      <c r="J884" s="10"/>
      <c r="K884" s="10"/>
    </row>
    <row r="885" spans="2:11" ht="14.25" customHeight="1" x14ac:dyDescent="0.3">
      <c r="B885" s="7"/>
      <c r="C885" s="10"/>
      <c r="D885" s="12"/>
      <c r="E885" s="7"/>
      <c r="F885" s="7"/>
      <c r="G885" s="7"/>
      <c r="H885" s="10"/>
      <c r="I885" s="19"/>
      <c r="J885" s="10"/>
      <c r="K885" s="10"/>
    </row>
    <row r="886" spans="2:11" ht="14.25" customHeight="1" x14ac:dyDescent="0.3">
      <c r="B886" s="7"/>
      <c r="C886" s="10"/>
      <c r="D886" s="12"/>
      <c r="E886" s="7"/>
      <c r="F886" s="7"/>
      <c r="G886" s="7"/>
      <c r="H886" s="10"/>
      <c r="I886" s="19"/>
      <c r="J886" s="10"/>
      <c r="K886" s="10"/>
    </row>
    <row r="887" spans="2:11" ht="14.25" customHeight="1" x14ac:dyDescent="0.3">
      <c r="B887" s="7"/>
      <c r="C887" s="10"/>
      <c r="D887" s="12"/>
      <c r="E887" s="7"/>
      <c r="F887" s="7"/>
      <c r="G887" s="7"/>
      <c r="H887" s="10"/>
      <c r="I887" s="19"/>
      <c r="J887" s="10"/>
      <c r="K887" s="10"/>
    </row>
    <row r="888" spans="2:11" ht="14.25" customHeight="1" x14ac:dyDescent="0.3">
      <c r="B888" s="7"/>
      <c r="C888" s="10"/>
      <c r="D888" s="12"/>
      <c r="E888" s="7"/>
      <c r="F888" s="7"/>
      <c r="G888" s="7"/>
      <c r="H888" s="10"/>
      <c r="I888" s="19"/>
      <c r="J888" s="10"/>
      <c r="K888" s="10"/>
    </row>
    <row r="889" spans="2:11" ht="14.25" customHeight="1" x14ac:dyDescent="0.3">
      <c r="B889" s="7"/>
      <c r="C889" s="10"/>
      <c r="D889" s="12"/>
      <c r="E889" s="7"/>
      <c r="F889" s="7"/>
      <c r="G889" s="7"/>
      <c r="H889" s="10"/>
      <c r="I889" s="19"/>
      <c r="J889" s="10"/>
      <c r="K889" s="10"/>
    </row>
    <row r="890" spans="2:11" ht="14.25" customHeight="1" x14ac:dyDescent="0.3">
      <c r="B890" s="7"/>
      <c r="C890" s="10"/>
      <c r="D890" s="12"/>
      <c r="E890" s="7"/>
      <c r="F890" s="7"/>
      <c r="G890" s="7"/>
      <c r="H890" s="10"/>
      <c r="I890" s="19"/>
      <c r="J890" s="10"/>
      <c r="K890" s="10"/>
    </row>
    <row r="891" spans="2:11" ht="14.25" customHeight="1" x14ac:dyDescent="0.3">
      <c r="B891" s="7"/>
      <c r="C891" s="10"/>
      <c r="D891" s="12"/>
      <c r="E891" s="7"/>
      <c r="F891" s="7"/>
      <c r="G891" s="7"/>
      <c r="H891" s="10"/>
      <c r="I891" s="19"/>
      <c r="J891" s="10"/>
      <c r="K891" s="10"/>
    </row>
    <row r="892" spans="2:11" ht="14.25" customHeight="1" x14ac:dyDescent="0.3">
      <c r="B892" s="7"/>
      <c r="C892" s="10"/>
      <c r="D892" s="12"/>
      <c r="E892" s="7"/>
      <c r="F892" s="7"/>
      <c r="G892" s="7"/>
      <c r="H892" s="10"/>
      <c r="I892" s="19"/>
      <c r="J892" s="10"/>
      <c r="K892" s="10"/>
    </row>
    <row r="893" spans="2:11" ht="14.25" customHeight="1" x14ac:dyDescent="0.3">
      <c r="B893" s="7"/>
      <c r="C893" s="10"/>
      <c r="D893" s="12"/>
      <c r="E893" s="7"/>
      <c r="F893" s="7"/>
      <c r="G893" s="7"/>
      <c r="H893" s="10"/>
      <c r="I893" s="19"/>
      <c r="J893" s="10"/>
      <c r="K893" s="10"/>
    </row>
    <row r="894" spans="2:11" ht="14.25" customHeight="1" x14ac:dyDescent="0.3">
      <c r="B894" s="7"/>
      <c r="C894" s="10"/>
      <c r="D894" s="12"/>
      <c r="E894" s="7"/>
      <c r="F894" s="7"/>
      <c r="G894" s="7"/>
      <c r="H894" s="10"/>
      <c r="I894" s="19"/>
      <c r="J894" s="10"/>
      <c r="K894" s="10"/>
    </row>
    <row r="895" spans="2:11" ht="14.25" customHeight="1" x14ac:dyDescent="0.3">
      <c r="B895" s="7"/>
      <c r="C895" s="10"/>
      <c r="D895" s="12"/>
      <c r="E895" s="7"/>
      <c r="F895" s="7"/>
      <c r="G895" s="7"/>
      <c r="H895" s="10"/>
      <c r="I895" s="19"/>
      <c r="J895" s="10"/>
      <c r="K895" s="10"/>
    </row>
    <row r="896" spans="2:11" ht="14.25" customHeight="1" x14ac:dyDescent="0.3">
      <c r="B896" s="7"/>
      <c r="C896" s="10"/>
      <c r="D896" s="12"/>
      <c r="E896" s="7"/>
      <c r="F896" s="7"/>
      <c r="G896" s="7"/>
      <c r="H896" s="10"/>
      <c r="I896" s="19"/>
      <c r="J896" s="10"/>
      <c r="K896" s="10"/>
    </row>
    <row r="897" spans="2:11" ht="14.25" customHeight="1" x14ac:dyDescent="0.3">
      <c r="B897" s="7"/>
      <c r="C897" s="10"/>
      <c r="D897" s="12"/>
      <c r="E897" s="7"/>
      <c r="F897" s="7"/>
      <c r="G897" s="7"/>
      <c r="H897" s="10"/>
      <c r="I897" s="19"/>
      <c r="J897" s="10"/>
      <c r="K897" s="10"/>
    </row>
    <row r="898" spans="2:11" ht="14.25" customHeight="1" x14ac:dyDescent="0.3">
      <c r="B898" s="7"/>
      <c r="C898" s="10"/>
      <c r="D898" s="12"/>
      <c r="E898" s="7"/>
      <c r="F898" s="7"/>
      <c r="G898" s="7"/>
      <c r="H898" s="10"/>
      <c r="I898" s="19"/>
      <c r="J898" s="10"/>
      <c r="K898" s="10"/>
    </row>
    <row r="899" spans="2:11" ht="14.25" customHeight="1" x14ac:dyDescent="0.3">
      <c r="B899" s="7"/>
      <c r="C899" s="10"/>
      <c r="D899" s="12"/>
      <c r="E899" s="7"/>
      <c r="F899" s="7"/>
      <c r="G899" s="7"/>
      <c r="H899" s="10"/>
      <c r="I899" s="19"/>
      <c r="J899" s="10"/>
      <c r="K899" s="10"/>
    </row>
    <row r="900" spans="2:11" ht="14.25" customHeight="1" x14ac:dyDescent="0.3">
      <c r="B900" s="7"/>
      <c r="C900" s="10"/>
      <c r="D900" s="12"/>
      <c r="E900" s="7"/>
      <c r="F900" s="7"/>
      <c r="G900" s="7"/>
      <c r="H900" s="10"/>
      <c r="I900" s="19"/>
      <c r="J900" s="10"/>
      <c r="K900" s="10"/>
    </row>
    <row r="901" spans="2:11" ht="14.25" customHeight="1" x14ac:dyDescent="0.3">
      <c r="B901" s="7"/>
      <c r="C901" s="10"/>
      <c r="D901" s="12"/>
      <c r="E901" s="7"/>
      <c r="F901" s="7"/>
      <c r="G901" s="7"/>
      <c r="H901" s="10"/>
      <c r="I901" s="19"/>
      <c r="J901" s="10"/>
      <c r="K901" s="10"/>
    </row>
    <row r="902" spans="2:11" ht="14.25" customHeight="1" x14ac:dyDescent="0.3">
      <c r="B902" s="7"/>
      <c r="C902" s="10"/>
      <c r="D902" s="12"/>
      <c r="E902" s="7"/>
      <c r="F902" s="7"/>
      <c r="G902" s="7"/>
      <c r="H902" s="10"/>
      <c r="I902" s="19"/>
      <c r="J902" s="10"/>
      <c r="K902" s="10"/>
    </row>
    <row r="903" spans="2:11" ht="14.25" customHeight="1" x14ac:dyDescent="0.3">
      <c r="B903" s="7"/>
      <c r="C903" s="10"/>
      <c r="D903" s="12"/>
      <c r="E903" s="7"/>
      <c r="F903" s="7"/>
      <c r="G903" s="7"/>
      <c r="H903" s="10"/>
      <c r="I903" s="19"/>
      <c r="J903" s="10"/>
      <c r="K903" s="10"/>
    </row>
    <row r="904" spans="2:11" ht="14.25" customHeight="1" x14ac:dyDescent="0.3">
      <c r="B904" s="7"/>
      <c r="C904" s="10"/>
      <c r="D904" s="12"/>
      <c r="E904" s="7"/>
      <c r="F904" s="7"/>
      <c r="G904" s="7"/>
      <c r="H904" s="10"/>
      <c r="I904" s="19"/>
      <c r="J904" s="10"/>
      <c r="K904" s="10"/>
    </row>
    <row r="905" spans="2:11" ht="14.25" customHeight="1" x14ac:dyDescent="0.3">
      <c r="B905" s="7"/>
      <c r="C905" s="10"/>
      <c r="D905" s="12"/>
      <c r="E905" s="7"/>
      <c r="F905" s="7"/>
      <c r="G905" s="7"/>
      <c r="H905" s="10"/>
      <c r="I905" s="19"/>
      <c r="J905" s="10"/>
      <c r="K905" s="10"/>
    </row>
    <row r="906" spans="2:11" ht="14.25" customHeight="1" x14ac:dyDescent="0.3">
      <c r="B906" s="7"/>
      <c r="C906" s="10"/>
      <c r="D906" s="12"/>
      <c r="E906" s="7"/>
      <c r="F906" s="7"/>
      <c r="G906" s="7"/>
      <c r="H906" s="10"/>
      <c r="I906" s="19"/>
      <c r="J906" s="10"/>
      <c r="K906" s="10"/>
    </row>
    <row r="907" spans="2:11" ht="14.25" customHeight="1" x14ac:dyDescent="0.3">
      <c r="B907" s="7"/>
      <c r="C907" s="10"/>
      <c r="D907" s="12"/>
      <c r="E907" s="7"/>
      <c r="F907" s="7"/>
      <c r="G907" s="7"/>
      <c r="H907" s="10"/>
      <c r="I907" s="19"/>
      <c r="J907" s="10"/>
      <c r="K907" s="10"/>
    </row>
    <row r="908" spans="2:11" ht="14.25" customHeight="1" x14ac:dyDescent="0.3">
      <c r="B908" s="7"/>
      <c r="C908" s="10"/>
      <c r="D908" s="12"/>
      <c r="E908" s="7"/>
      <c r="F908" s="7"/>
      <c r="G908" s="7"/>
      <c r="H908" s="10"/>
      <c r="I908" s="19"/>
      <c r="J908" s="10"/>
      <c r="K908" s="10"/>
    </row>
    <row r="909" spans="2:11" ht="14.25" customHeight="1" x14ac:dyDescent="0.3">
      <c r="B909" s="7"/>
      <c r="C909" s="10"/>
      <c r="D909" s="12"/>
      <c r="E909" s="7"/>
      <c r="F909" s="7"/>
      <c r="G909" s="7"/>
      <c r="H909" s="10"/>
      <c r="I909" s="19"/>
      <c r="J909" s="10"/>
      <c r="K909" s="10"/>
    </row>
    <row r="910" spans="2:11" ht="14.25" customHeight="1" x14ac:dyDescent="0.3">
      <c r="B910" s="7"/>
      <c r="C910" s="10"/>
      <c r="D910" s="12"/>
      <c r="E910" s="7"/>
      <c r="F910" s="7"/>
      <c r="G910" s="7"/>
      <c r="H910" s="10"/>
      <c r="I910" s="19"/>
      <c r="J910" s="10"/>
      <c r="K910" s="10"/>
    </row>
    <row r="911" spans="2:11" ht="14.25" customHeight="1" x14ac:dyDescent="0.3">
      <c r="B911" s="7"/>
      <c r="C911" s="10"/>
      <c r="D911" s="12"/>
      <c r="E911" s="7"/>
      <c r="F911" s="7"/>
      <c r="G911" s="7"/>
      <c r="H911" s="10"/>
      <c r="I911" s="19"/>
      <c r="J911" s="10"/>
      <c r="K911" s="10"/>
    </row>
    <row r="912" spans="2:11" ht="14.25" customHeight="1" x14ac:dyDescent="0.3">
      <c r="B912" s="7"/>
      <c r="C912" s="10"/>
      <c r="D912" s="12"/>
      <c r="E912" s="7"/>
      <c r="F912" s="7"/>
      <c r="G912" s="7"/>
      <c r="H912" s="10"/>
      <c r="I912" s="19"/>
      <c r="J912" s="10"/>
      <c r="K912" s="10"/>
    </row>
    <row r="913" spans="2:11" ht="14.25" customHeight="1" x14ac:dyDescent="0.3">
      <c r="B913" s="7"/>
      <c r="C913" s="10"/>
      <c r="D913" s="12"/>
      <c r="E913" s="7"/>
      <c r="F913" s="7"/>
      <c r="G913" s="7"/>
      <c r="H913" s="10"/>
      <c r="I913" s="19"/>
      <c r="J913" s="10"/>
      <c r="K913" s="10"/>
    </row>
    <row r="914" spans="2:11" ht="14.25" customHeight="1" x14ac:dyDescent="0.3">
      <c r="B914" s="7"/>
      <c r="C914" s="10"/>
      <c r="D914" s="12"/>
      <c r="E914" s="7"/>
      <c r="F914" s="7"/>
      <c r="G914" s="7"/>
      <c r="H914" s="10"/>
      <c r="I914" s="19"/>
      <c r="J914" s="10"/>
      <c r="K914" s="10"/>
    </row>
    <row r="915" spans="2:11" ht="14.25" customHeight="1" x14ac:dyDescent="0.3">
      <c r="B915" s="7"/>
      <c r="C915" s="10"/>
      <c r="D915" s="12"/>
      <c r="E915" s="7"/>
      <c r="F915" s="7"/>
      <c r="G915" s="7"/>
      <c r="H915" s="10"/>
      <c r="I915" s="19"/>
      <c r="J915" s="10"/>
      <c r="K915" s="10"/>
    </row>
    <row r="916" spans="2:11" ht="14.25" customHeight="1" x14ac:dyDescent="0.3">
      <c r="B916" s="7"/>
      <c r="C916" s="10"/>
      <c r="D916" s="12"/>
      <c r="E916" s="7"/>
      <c r="F916" s="7"/>
      <c r="G916" s="7"/>
      <c r="H916" s="10"/>
      <c r="I916" s="19"/>
      <c r="J916" s="10"/>
      <c r="K916" s="10"/>
    </row>
    <row r="917" spans="2:11" ht="14.25" customHeight="1" x14ac:dyDescent="0.3">
      <c r="B917" s="7"/>
      <c r="C917" s="10"/>
      <c r="D917" s="12"/>
      <c r="E917" s="7"/>
      <c r="F917" s="7"/>
      <c r="G917" s="7"/>
      <c r="H917" s="10"/>
      <c r="I917" s="19"/>
      <c r="J917" s="10"/>
      <c r="K917" s="10"/>
    </row>
    <row r="918" spans="2:11" ht="14.25" customHeight="1" x14ac:dyDescent="0.3">
      <c r="B918" s="7"/>
      <c r="C918" s="10"/>
      <c r="D918" s="12"/>
      <c r="E918" s="7"/>
      <c r="F918" s="7"/>
      <c r="G918" s="7"/>
      <c r="H918" s="10"/>
      <c r="I918" s="19"/>
      <c r="J918" s="10"/>
      <c r="K918" s="10"/>
    </row>
    <row r="919" spans="2:11" ht="14.25" customHeight="1" x14ac:dyDescent="0.3">
      <c r="B919" s="7"/>
      <c r="C919" s="10"/>
      <c r="D919" s="12"/>
      <c r="E919" s="7"/>
      <c r="F919" s="7"/>
      <c r="G919" s="7"/>
      <c r="H919" s="10"/>
      <c r="I919" s="19"/>
      <c r="J919" s="10"/>
      <c r="K919" s="10"/>
    </row>
    <row r="920" spans="2:11" ht="14.25" customHeight="1" x14ac:dyDescent="0.3">
      <c r="B920" s="7"/>
      <c r="C920" s="10"/>
      <c r="D920" s="12"/>
      <c r="E920" s="7"/>
      <c r="F920" s="7"/>
      <c r="G920" s="7"/>
      <c r="H920" s="10"/>
      <c r="I920" s="19"/>
      <c r="J920" s="10"/>
      <c r="K920" s="10"/>
    </row>
    <row r="921" spans="2:11" ht="14.25" customHeight="1" x14ac:dyDescent="0.3">
      <c r="B921" s="7"/>
      <c r="C921" s="10"/>
      <c r="D921" s="12"/>
      <c r="E921" s="7"/>
      <c r="F921" s="7"/>
      <c r="G921" s="7"/>
      <c r="H921" s="10"/>
      <c r="I921" s="19"/>
      <c r="J921" s="10"/>
      <c r="K921" s="10"/>
    </row>
    <row r="922" spans="2:11" ht="14.25" customHeight="1" x14ac:dyDescent="0.3">
      <c r="B922" s="7"/>
      <c r="C922" s="10"/>
      <c r="D922" s="12"/>
      <c r="E922" s="7"/>
      <c r="F922" s="7"/>
      <c r="G922" s="7"/>
      <c r="H922" s="10"/>
      <c r="I922" s="19"/>
      <c r="J922" s="10"/>
      <c r="K922" s="10"/>
    </row>
    <row r="923" spans="2:11" ht="14.25" customHeight="1" x14ac:dyDescent="0.3">
      <c r="B923" s="7"/>
      <c r="C923" s="10"/>
      <c r="D923" s="12"/>
      <c r="E923" s="7"/>
      <c r="F923" s="7"/>
      <c r="G923" s="7"/>
      <c r="H923" s="10"/>
      <c r="I923" s="19"/>
      <c r="J923" s="10"/>
      <c r="K923" s="10"/>
    </row>
    <row r="924" spans="2:11" ht="14.25" customHeight="1" x14ac:dyDescent="0.3">
      <c r="B924" s="7"/>
      <c r="C924" s="10"/>
      <c r="D924" s="12"/>
      <c r="E924" s="7"/>
      <c r="F924" s="7"/>
      <c r="G924" s="7"/>
      <c r="H924" s="10"/>
      <c r="I924" s="19"/>
      <c r="J924" s="10"/>
      <c r="K924" s="10"/>
    </row>
    <row r="925" spans="2:11" ht="14.25" customHeight="1" x14ac:dyDescent="0.3">
      <c r="B925" s="7"/>
      <c r="C925" s="10"/>
      <c r="D925" s="12"/>
      <c r="E925" s="7"/>
      <c r="F925" s="7"/>
      <c r="G925" s="7"/>
      <c r="H925" s="10"/>
      <c r="I925" s="19"/>
      <c r="J925" s="10"/>
      <c r="K925" s="10"/>
    </row>
    <row r="926" spans="2:11" ht="14.25" customHeight="1" x14ac:dyDescent="0.3">
      <c r="B926" s="7"/>
      <c r="C926" s="10"/>
      <c r="D926" s="12"/>
      <c r="E926" s="7"/>
      <c r="F926" s="7"/>
      <c r="G926" s="7"/>
      <c r="H926" s="10"/>
      <c r="I926" s="19"/>
      <c r="J926" s="10"/>
      <c r="K926" s="10"/>
    </row>
    <row r="927" spans="2:11" ht="14.25" customHeight="1" x14ac:dyDescent="0.3">
      <c r="B927" s="7"/>
      <c r="C927" s="10"/>
      <c r="D927" s="12"/>
      <c r="E927" s="7"/>
      <c r="F927" s="7"/>
      <c r="G927" s="7"/>
      <c r="H927" s="10"/>
      <c r="I927" s="19"/>
      <c r="J927" s="10"/>
      <c r="K927" s="10"/>
    </row>
    <row r="928" spans="2:11" ht="14.25" customHeight="1" x14ac:dyDescent="0.3">
      <c r="B928" s="7"/>
      <c r="C928" s="10"/>
      <c r="D928" s="12"/>
      <c r="E928" s="7"/>
      <c r="F928" s="7"/>
      <c r="G928" s="7"/>
      <c r="H928" s="10"/>
      <c r="I928" s="19"/>
      <c r="J928" s="10"/>
      <c r="K928" s="10"/>
    </row>
    <row r="929" spans="2:11" ht="14.25" customHeight="1" x14ac:dyDescent="0.3">
      <c r="B929" s="7"/>
      <c r="C929" s="10"/>
      <c r="D929" s="12"/>
      <c r="E929" s="7"/>
      <c r="F929" s="7"/>
      <c r="G929" s="7"/>
      <c r="H929" s="10"/>
      <c r="I929" s="19"/>
      <c r="J929" s="10"/>
      <c r="K929" s="10"/>
    </row>
    <row r="930" spans="2:11" ht="14.25" customHeight="1" x14ac:dyDescent="0.3">
      <c r="B930" s="7"/>
      <c r="C930" s="10"/>
      <c r="D930" s="12"/>
      <c r="E930" s="7"/>
      <c r="F930" s="7"/>
      <c r="G930" s="7"/>
      <c r="H930" s="10"/>
      <c r="I930" s="19"/>
      <c r="J930" s="10"/>
      <c r="K930" s="10"/>
    </row>
    <row r="931" spans="2:11" ht="14.25" customHeight="1" x14ac:dyDescent="0.3">
      <c r="B931" s="7"/>
      <c r="C931" s="10"/>
      <c r="D931" s="12"/>
      <c r="E931" s="7"/>
      <c r="F931" s="7"/>
      <c r="G931" s="7"/>
      <c r="H931" s="10"/>
      <c r="I931" s="19"/>
      <c r="J931" s="10"/>
      <c r="K931" s="10"/>
    </row>
    <row r="932" spans="2:11" ht="14.25" customHeight="1" x14ac:dyDescent="0.3">
      <c r="B932" s="7"/>
      <c r="C932" s="10"/>
      <c r="D932" s="12"/>
      <c r="E932" s="7"/>
      <c r="F932" s="7"/>
      <c r="G932" s="7"/>
      <c r="H932" s="10"/>
      <c r="I932" s="19"/>
      <c r="J932" s="10"/>
      <c r="K932" s="10"/>
    </row>
    <row r="933" spans="2:11" ht="14.25" customHeight="1" x14ac:dyDescent="0.3">
      <c r="B933" s="7"/>
      <c r="C933" s="10"/>
      <c r="D933" s="12"/>
      <c r="E933" s="7"/>
      <c r="F933" s="7"/>
      <c r="G933" s="7"/>
      <c r="H933" s="10"/>
      <c r="I933" s="19"/>
      <c r="J933" s="10"/>
      <c r="K933" s="10"/>
    </row>
    <row r="934" spans="2:11" ht="14.25" customHeight="1" x14ac:dyDescent="0.3">
      <c r="B934" s="7"/>
      <c r="C934" s="10"/>
      <c r="D934" s="12"/>
      <c r="E934" s="7"/>
      <c r="F934" s="7"/>
      <c r="G934" s="7"/>
      <c r="H934" s="10"/>
      <c r="I934" s="19"/>
      <c r="J934" s="10"/>
      <c r="K934" s="10"/>
    </row>
    <row r="935" spans="2:11" ht="14.25" customHeight="1" x14ac:dyDescent="0.3">
      <c r="B935" s="7"/>
      <c r="C935" s="10"/>
      <c r="D935" s="12"/>
      <c r="E935" s="7"/>
      <c r="F935" s="7"/>
      <c r="G935" s="7"/>
      <c r="H935" s="10"/>
      <c r="I935" s="19"/>
      <c r="J935" s="10"/>
      <c r="K935" s="10"/>
    </row>
    <row r="936" spans="2:11" ht="14.25" customHeight="1" x14ac:dyDescent="0.3">
      <c r="B936" s="7"/>
      <c r="C936" s="10"/>
      <c r="D936" s="12"/>
      <c r="E936" s="7"/>
      <c r="F936" s="7"/>
      <c r="G936" s="7"/>
      <c r="H936" s="10"/>
      <c r="I936" s="19"/>
      <c r="J936" s="10"/>
      <c r="K936" s="10"/>
    </row>
    <row r="937" spans="2:11" ht="14.25" customHeight="1" x14ac:dyDescent="0.3">
      <c r="B937" s="7"/>
      <c r="C937" s="10"/>
      <c r="D937" s="12"/>
      <c r="E937" s="7"/>
      <c r="F937" s="7"/>
      <c r="G937" s="7"/>
      <c r="H937" s="10"/>
      <c r="I937" s="19"/>
      <c r="J937" s="10"/>
      <c r="K937" s="10"/>
    </row>
    <row r="938" spans="2:11" ht="14.25" customHeight="1" x14ac:dyDescent="0.3">
      <c r="B938" s="7"/>
      <c r="C938" s="10"/>
      <c r="D938" s="12"/>
      <c r="E938" s="7"/>
      <c r="F938" s="7"/>
      <c r="G938" s="7"/>
      <c r="H938" s="10"/>
      <c r="I938" s="19"/>
      <c r="J938" s="10"/>
      <c r="K938" s="10"/>
    </row>
    <row r="939" spans="2:11" ht="14.25" customHeight="1" x14ac:dyDescent="0.3">
      <c r="B939" s="7"/>
      <c r="C939" s="10"/>
      <c r="D939" s="12"/>
      <c r="E939" s="7"/>
      <c r="F939" s="7"/>
      <c r="G939" s="7"/>
      <c r="H939" s="10"/>
      <c r="I939" s="19"/>
      <c r="J939" s="10"/>
      <c r="K939" s="10"/>
    </row>
    <row r="940" spans="2:11" ht="14.25" customHeight="1" x14ac:dyDescent="0.3">
      <c r="B940" s="7"/>
      <c r="C940" s="10"/>
      <c r="D940" s="12"/>
      <c r="E940" s="7"/>
      <c r="F940" s="7"/>
      <c r="G940" s="7"/>
      <c r="H940" s="10"/>
      <c r="I940" s="19"/>
      <c r="J940" s="10"/>
      <c r="K940" s="10"/>
    </row>
    <row r="941" spans="2:11" ht="14.25" customHeight="1" x14ac:dyDescent="0.3">
      <c r="B941" s="7"/>
      <c r="C941" s="10"/>
      <c r="D941" s="12"/>
      <c r="E941" s="7"/>
      <c r="F941" s="7"/>
      <c r="G941" s="7"/>
      <c r="H941" s="10"/>
      <c r="I941" s="19"/>
      <c r="J941" s="10"/>
      <c r="K941" s="10"/>
    </row>
    <row r="942" spans="2:11" ht="14.25" customHeight="1" x14ac:dyDescent="0.3">
      <c r="B942" s="7"/>
      <c r="C942" s="10"/>
      <c r="D942" s="12"/>
      <c r="E942" s="7"/>
      <c r="F942" s="7"/>
      <c r="G942" s="7"/>
      <c r="H942" s="10"/>
      <c r="I942" s="19"/>
      <c r="J942" s="10"/>
      <c r="K942" s="10"/>
    </row>
    <row r="943" spans="2:11" ht="14.25" customHeight="1" x14ac:dyDescent="0.3">
      <c r="B943" s="7"/>
      <c r="C943" s="10"/>
      <c r="D943" s="12"/>
      <c r="E943" s="7"/>
      <c r="F943" s="7"/>
      <c r="G943" s="7"/>
      <c r="H943" s="10"/>
      <c r="I943" s="19"/>
      <c r="J943" s="10"/>
      <c r="K943" s="10"/>
    </row>
    <row r="944" spans="2:11" ht="14.25" customHeight="1" x14ac:dyDescent="0.3">
      <c r="B944" s="7"/>
      <c r="C944" s="10"/>
      <c r="D944" s="12"/>
      <c r="E944" s="7"/>
      <c r="F944" s="7"/>
      <c r="G944" s="7"/>
      <c r="H944" s="10"/>
      <c r="I944" s="19"/>
      <c r="J944" s="10"/>
      <c r="K944" s="10"/>
    </row>
    <row r="945" spans="2:11" ht="14.25" customHeight="1" x14ac:dyDescent="0.3">
      <c r="B945" s="7"/>
      <c r="C945" s="10"/>
      <c r="D945" s="12"/>
      <c r="E945" s="7"/>
      <c r="F945" s="7"/>
      <c r="G945" s="7"/>
      <c r="H945" s="10"/>
      <c r="I945" s="19"/>
      <c r="J945" s="10"/>
      <c r="K945" s="10"/>
    </row>
    <row r="946" spans="2:11" ht="14.25" customHeight="1" x14ac:dyDescent="0.3">
      <c r="B946" s="7"/>
      <c r="C946" s="10"/>
      <c r="D946" s="12"/>
      <c r="E946" s="7"/>
      <c r="F946" s="7"/>
      <c r="G946" s="7"/>
      <c r="H946" s="10"/>
      <c r="I946" s="19"/>
      <c r="J946" s="10"/>
      <c r="K946" s="10"/>
    </row>
    <row r="947" spans="2:11" ht="14.25" customHeight="1" x14ac:dyDescent="0.3">
      <c r="B947" s="7"/>
      <c r="C947" s="10"/>
      <c r="D947" s="12"/>
      <c r="E947" s="7"/>
      <c r="F947" s="7"/>
      <c r="G947" s="7"/>
      <c r="H947" s="10"/>
      <c r="I947" s="19"/>
      <c r="J947" s="10"/>
      <c r="K947" s="10"/>
    </row>
    <row r="948" spans="2:11" ht="14.25" customHeight="1" x14ac:dyDescent="0.3">
      <c r="B948" s="7"/>
      <c r="C948" s="10"/>
      <c r="D948" s="12"/>
      <c r="E948" s="7"/>
      <c r="F948" s="7"/>
      <c r="G948" s="7"/>
      <c r="H948" s="10"/>
      <c r="I948" s="19"/>
      <c r="J948" s="10"/>
      <c r="K948" s="10"/>
    </row>
    <row r="949" spans="2:11" ht="14.25" customHeight="1" x14ac:dyDescent="0.3">
      <c r="B949" s="7"/>
      <c r="C949" s="10"/>
      <c r="D949" s="12"/>
      <c r="E949" s="7"/>
      <c r="F949" s="7"/>
      <c r="G949" s="7"/>
      <c r="H949" s="10"/>
      <c r="I949" s="19"/>
      <c r="J949" s="10"/>
      <c r="K949" s="10"/>
    </row>
    <row r="950" spans="2:11" ht="14.25" customHeight="1" x14ac:dyDescent="0.3">
      <c r="B950" s="7"/>
      <c r="C950" s="10"/>
      <c r="D950" s="12"/>
      <c r="E950" s="7"/>
      <c r="F950" s="7"/>
      <c r="G950" s="7"/>
      <c r="H950" s="10"/>
      <c r="I950" s="19"/>
      <c r="J950" s="10"/>
      <c r="K950" s="10"/>
    </row>
    <row r="951" spans="2:11" ht="14.25" customHeight="1" x14ac:dyDescent="0.3">
      <c r="B951" s="7"/>
      <c r="C951" s="10"/>
      <c r="D951" s="12"/>
      <c r="E951" s="7"/>
      <c r="F951" s="7"/>
      <c r="G951" s="7"/>
      <c r="H951" s="10"/>
      <c r="I951" s="19"/>
      <c r="J951" s="10"/>
      <c r="K951" s="10"/>
    </row>
    <row r="952" spans="2:11" ht="14.25" customHeight="1" x14ac:dyDescent="0.3">
      <c r="B952" s="7"/>
      <c r="C952" s="10"/>
      <c r="D952" s="12"/>
      <c r="E952" s="7"/>
      <c r="F952" s="7"/>
      <c r="G952" s="7"/>
      <c r="H952" s="10"/>
      <c r="I952" s="19"/>
      <c r="J952" s="10"/>
      <c r="K952" s="10"/>
    </row>
    <row r="953" spans="2:11" ht="14.25" customHeight="1" x14ac:dyDescent="0.3">
      <c r="B953" s="7"/>
      <c r="C953" s="10"/>
      <c r="D953" s="12"/>
      <c r="E953" s="7"/>
      <c r="F953" s="7"/>
      <c r="G953" s="7"/>
      <c r="H953" s="10"/>
      <c r="I953" s="19"/>
      <c r="J953" s="10"/>
      <c r="K953" s="10"/>
    </row>
    <row r="954" spans="2:11" ht="14.25" customHeight="1" x14ac:dyDescent="0.3">
      <c r="B954" s="7"/>
      <c r="C954" s="10"/>
      <c r="D954" s="12"/>
      <c r="E954" s="7"/>
      <c r="F954" s="7"/>
      <c r="G954" s="7"/>
      <c r="H954" s="10"/>
      <c r="I954" s="19"/>
      <c r="J954" s="10"/>
      <c r="K954" s="10"/>
    </row>
    <row r="955" spans="2:11" ht="14.25" customHeight="1" x14ac:dyDescent="0.3">
      <c r="B955" s="7"/>
      <c r="C955" s="10"/>
      <c r="D955" s="12"/>
      <c r="E955" s="7"/>
      <c r="F955" s="7"/>
      <c r="G955" s="7"/>
      <c r="H955" s="10"/>
      <c r="I955" s="19"/>
      <c r="J955" s="10"/>
      <c r="K955" s="10"/>
    </row>
    <row r="956" spans="2:11" ht="14.25" customHeight="1" x14ac:dyDescent="0.3">
      <c r="B956" s="7"/>
      <c r="C956" s="10"/>
      <c r="D956" s="12"/>
      <c r="E956" s="7"/>
      <c r="F956" s="7"/>
      <c r="G956" s="7"/>
      <c r="H956" s="10"/>
      <c r="I956" s="19"/>
      <c r="J956" s="10"/>
      <c r="K956" s="10"/>
    </row>
    <row r="957" spans="2:11" ht="14.25" customHeight="1" x14ac:dyDescent="0.3">
      <c r="B957" s="7"/>
      <c r="C957" s="10"/>
      <c r="D957" s="12"/>
      <c r="E957" s="7"/>
      <c r="F957" s="7"/>
      <c r="G957" s="7"/>
      <c r="H957" s="10"/>
      <c r="I957" s="19"/>
      <c r="J957" s="10"/>
      <c r="K957" s="10"/>
    </row>
    <row r="958" spans="2:11" ht="14.25" customHeight="1" x14ac:dyDescent="0.3">
      <c r="B958" s="7"/>
      <c r="C958" s="10"/>
      <c r="D958" s="12"/>
      <c r="E958" s="7"/>
      <c r="F958" s="7"/>
      <c r="G958" s="7"/>
      <c r="H958" s="10"/>
      <c r="I958" s="19"/>
      <c r="J958" s="10"/>
      <c r="K958" s="10"/>
    </row>
    <row r="959" spans="2:11" ht="14.25" customHeight="1" x14ac:dyDescent="0.3">
      <c r="B959" s="7"/>
      <c r="C959" s="10"/>
      <c r="D959" s="12"/>
      <c r="E959" s="7"/>
      <c r="F959" s="7"/>
      <c r="G959" s="7"/>
      <c r="H959" s="10"/>
      <c r="I959" s="19"/>
      <c r="J959" s="10"/>
      <c r="K959" s="10"/>
    </row>
    <row r="960" spans="2:11" ht="14.25" customHeight="1" x14ac:dyDescent="0.3">
      <c r="B960" s="7"/>
      <c r="C960" s="10"/>
      <c r="D960" s="12"/>
      <c r="E960" s="7"/>
      <c r="F960" s="7"/>
      <c r="G960" s="7"/>
      <c r="H960" s="10"/>
      <c r="I960" s="19"/>
      <c r="J960" s="10"/>
      <c r="K960" s="10"/>
    </row>
    <row r="961" spans="2:11" ht="14.25" customHeight="1" x14ac:dyDescent="0.3">
      <c r="B961" s="7"/>
      <c r="C961" s="10"/>
      <c r="D961" s="12"/>
      <c r="E961" s="7"/>
      <c r="F961" s="7"/>
      <c r="G961" s="7"/>
      <c r="H961" s="10"/>
      <c r="I961" s="19"/>
      <c r="J961" s="10"/>
      <c r="K961" s="10"/>
    </row>
    <row r="962" spans="2:11" ht="14.25" customHeight="1" x14ac:dyDescent="0.3">
      <c r="B962" s="7"/>
      <c r="C962" s="10"/>
      <c r="D962" s="12"/>
      <c r="E962" s="7"/>
      <c r="F962" s="7"/>
      <c r="G962" s="7"/>
      <c r="H962" s="10"/>
      <c r="I962" s="19"/>
      <c r="J962" s="10"/>
      <c r="K962" s="10"/>
    </row>
    <row r="963" spans="2:11" ht="14.25" customHeight="1" x14ac:dyDescent="0.3">
      <c r="B963" s="7"/>
      <c r="C963" s="10"/>
      <c r="D963" s="12"/>
      <c r="E963" s="7"/>
      <c r="F963" s="7"/>
      <c r="G963" s="7"/>
      <c r="H963" s="10"/>
      <c r="I963" s="19"/>
      <c r="J963" s="10"/>
      <c r="K963" s="10"/>
    </row>
    <row r="964" spans="2:11" ht="14.25" customHeight="1" x14ac:dyDescent="0.3">
      <c r="B964" s="7"/>
      <c r="C964" s="10"/>
      <c r="D964" s="12"/>
      <c r="E964" s="7"/>
      <c r="F964" s="7"/>
      <c r="G964" s="7"/>
      <c r="H964" s="10"/>
      <c r="I964" s="19"/>
      <c r="J964" s="10"/>
      <c r="K964" s="10"/>
    </row>
    <row r="965" spans="2:11" ht="14.25" customHeight="1" x14ac:dyDescent="0.3">
      <c r="B965" s="7"/>
      <c r="C965" s="10"/>
      <c r="D965" s="12"/>
      <c r="E965" s="7"/>
      <c r="F965" s="7"/>
      <c r="G965" s="7"/>
      <c r="H965" s="10"/>
      <c r="I965" s="19"/>
      <c r="J965" s="10"/>
      <c r="K965" s="10"/>
    </row>
    <row r="966" spans="2:11" ht="14.25" customHeight="1" x14ac:dyDescent="0.3">
      <c r="B966" s="7"/>
      <c r="C966" s="10"/>
      <c r="D966" s="12"/>
      <c r="E966" s="7"/>
      <c r="F966" s="7"/>
      <c r="G966" s="7"/>
      <c r="H966" s="10"/>
      <c r="I966" s="19"/>
      <c r="J966" s="10"/>
      <c r="K966" s="10"/>
    </row>
    <row r="967" spans="2:11" ht="14.25" customHeight="1" x14ac:dyDescent="0.3">
      <c r="B967" s="7"/>
      <c r="C967" s="10"/>
      <c r="D967" s="12"/>
      <c r="E967" s="7"/>
      <c r="F967" s="7"/>
      <c r="G967" s="7"/>
      <c r="H967" s="10"/>
      <c r="I967" s="19"/>
      <c r="J967" s="10"/>
      <c r="K967" s="10"/>
    </row>
    <row r="968" spans="2:11" ht="14.25" customHeight="1" x14ac:dyDescent="0.3">
      <c r="B968" s="7"/>
      <c r="C968" s="10"/>
      <c r="D968" s="12"/>
      <c r="E968" s="7"/>
      <c r="F968" s="7"/>
      <c r="G968" s="7"/>
      <c r="H968" s="10"/>
      <c r="I968" s="19"/>
      <c r="J968" s="10"/>
      <c r="K968" s="10"/>
    </row>
    <row r="969" spans="2:11" ht="14.25" customHeight="1" x14ac:dyDescent="0.3">
      <c r="B969" s="7"/>
      <c r="C969" s="10"/>
      <c r="D969" s="12"/>
      <c r="E969" s="7"/>
      <c r="F969" s="7"/>
      <c r="G969" s="7"/>
      <c r="H969" s="10"/>
      <c r="I969" s="19"/>
      <c r="J969" s="10"/>
      <c r="K969" s="10"/>
    </row>
    <row r="970" spans="2:11" ht="14.25" customHeight="1" x14ac:dyDescent="0.3">
      <c r="B970" s="7"/>
      <c r="C970" s="10"/>
      <c r="D970" s="12"/>
      <c r="E970" s="7"/>
      <c r="F970" s="7"/>
      <c r="G970" s="7"/>
      <c r="H970" s="10"/>
      <c r="I970" s="19"/>
      <c r="J970" s="10"/>
      <c r="K970" s="10"/>
    </row>
    <row r="971" spans="2:11" ht="14.25" customHeight="1" x14ac:dyDescent="0.3">
      <c r="B971" s="7"/>
      <c r="C971" s="10"/>
      <c r="D971" s="12"/>
      <c r="E971" s="7"/>
      <c r="F971" s="7"/>
      <c r="G971" s="7"/>
      <c r="H971" s="10"/>
      <c r="I971" s="19"/>
      <c r="J971" s="10"/>
      <c r="K971" s="10"/>
    </row>
    <row r="972" spans="2:11" ht="14.25" customHeight="1" x14ac:dyDescent="0.3">
      <c r="B972" s="7"/>
      <c r="C972" s="10"/>
      <c r="D972" s="12"/>
      <c r="E972" s="7"/>
      <c r="F972" s="7"/>
      <c r="G972" s="7"/>
      <c r="H972" s="10"/>
      <c r="I972" s="19"/>
      <c r="J972" s="10"/>
      <c r="K972" s="10"/>
    </row>
    <row r="973" spans="2:11" ht="14.25" customHeight="1" x14ac:dyDescent="0.3">
      <c r="B973" s="7"/>
      <c r="C973" s="10"/>
      <c r="D973" s="12"/>
      <c r="E973" s="7"/>
      <c r="F973" s="7"/>
      <c r="G973" s="7"/>
      <c r="H973" s="10"/>
      <c r="I973" s="19"/>
      <c r="J973" s="10"/>
      <c r="K973" s="10"/>
    </row>
    <row r="974" spans="2:11" ht="14.25" customHeight="1" x14ac:dyDescent="0.3">
      <c r="B974" s="7"/>
      <c r="C974" s="10"/>
      <c r="D974" s="12"/>
      <c r="E974" s="7"/>
      <c r="F974" s="7"/>
      <c r="G974" s="7"/>
      <c r="H974" s="10"/>
      <c r="I974" s="19"/>
      <c r="J974" s="10"/>
      <c r="K974" s="10"/>
    </row>
    <row r="975" spans="2:11" ht="14.25" customHeight="1" x14ac:dyDescent="0.3">
      <c r="B975" s="7"/>
      <c r="C975" s="10"/>
      <c r="D975" s="12"/>
      <c r="E975" s="7"/>
      <c r="F975" s="7"/>
      <c r="G975" s="7"/>
      <c r="H975" s="10"/>
      <c r="I975" s="19"/>
      <c r="J975" s="10"/>
      <c r="K975" s="10"/>
    </row>
    <row r="976" spans="2:11" ht="14.25" customHeight="1" x14ac:dyDescent="0.3">
      <c r="B976" s="7"/>
      <c r="C976" s="10"/>
      <c r="D976" s="12"/>
      <c r="E976" s="7"/>
      <c r="F976" s="7"/>
      <c r="G976" s="7"/>
      <c r="H976" s="10"/>
      <c r="I976" s="19"/>
      <c r="J976" s="10"/>
      <c r="K976" s="10"/>
    </row>
    <row r="977" spans="2:11" ht="14.25" customHeight="1" x14ac:dyDescent="0.3">
      <c r="B977" s="7"/>
      <c r="C977" s="10"/>
      <c r="D977" s="12"/>
      <c r="E977" s="7"/>
      <c r="F977" s="7"/>
      <c r="G977" s="7"/>
      <c r="H977" s="10"/>
      <c r="I977" s="19"/>
      <c r="J977" s="10"/>
      <c r="K977" s="10"/>
    </row>
    <row r="978" spans="2:11" ht="14.25" customHeight="1" x14ac:dyDescent="0.3">
      <c r="B978" s="7"/>
      <c r="C978" s="10"/>
      <c r="D978" s="12"/>
      <c r="E978" s="7"/>
      <c r="F978" s="7"/>
      <c r="G978" s="7"/>
      <c r="H978" s="10"/>
      <c r="I978" s="19"/>
      <c r="J978" s="10"/>
      <c r="K978" s="10"/>
    </row>
    <row r="979" spans="2:11" ht="14.25" customHeight="1" x14ac:dyDescent="0.3">
      <c r="B979" s="7"/>
      <c r="C979" s="10"/>
      <c r="D979" s="12"/>
      <c r="E979" s="7"/>
      <c r="F979" s="7"/>
      <c r="G979" s="7"/>
      <c r="H979" s="10"/>
      <c r="I979" s="19"/>
      <c r="J979" s="10"/>
      <c r="K979" s="10"/>
    </row>
    <row r="980" spans="2:11" ht="14.25" customHeight="1" x14ac:dyDescent="0.3">
      <c r="B980" s="7"/>
      <c r="C980" s="10"/>
      <c r="D980" s="12"/>
      <c r="E980" s="7"/>
      <c r="F980" s="7"/>
      <c r="G980" s="7"/>
      <c r="H980" s="10"/>
      <c r="I980" s="19"/>
      <c r="J980" s="10"/>
      <c r="K980" s="10"/>
    </row>
    <row r="981" spans="2:11" ht="14.25" customHeight="1" x14ac:dyDescent="0.3">
      <c r="B981" s="7"/>
      <c r="C981" s="10"/>
      <c r="D981" s="12"/>
      <c r="E981" s="7"/>
      <c r="F981" s="7"/>
      <c r="G981" s="7"/>
      <c r="H981" s="10"/>
      <c r="I981" s="19"/>
      <c r="J981" s="10"/>
      <c r="K981" s="10"/>
    </row>
    <row r="982" spans="2:11" ht="14.25" customHeight="1" x14ac:dyDescent="0.3">
      <c r="B982" s="7"/>
      <c r="C982" s="10"/>
      <c r="D982" s="12"/>
      <c r="E982" s="7"/>
      <c r="F982" s="7"/>
      <c r="G982" s="7"/>
      <c r="H982" s="10"/>
      <c r="I982" s="19"/>
      <c r="J982" s="10"/>
      <c r="K982" s="10"/>
    </row>
    <row r="983" spans="2:11" ht="14.25" customHeight="1" x14ac:dyDescent="0.3">
      <c r="B983" s="7"/>
      <c r="C983" s="10"/>
      <c r="D983" s="12"/>
      <c r="E983" s="7"/>
      <c r="F983" s="7"/>
      <c r="G983" s="7"/>
      <c r="H983" s="10"/>
      <c r="I983" s="19"/>
      <c r="J983" s="10"/>
      <c r="K983" s="10"/>
    </row>
    <row r="984" spans="2:11" ht="14.25" customHeight="1" x14ac:dyDescent="0.3">
      <c r="B984" s="7"/>
      <c r="C984" s="10"/>
      <c r="D984" s="12"/>
      <c r="E984" s="7"/>
      <c r="F984" s="7"/>
      <c r="G984" s="7"/>
      <c r="H984" s="10"/>
      <c r="I984" s="19"/>
      <c r="J984" s="10"/>
      <c r="K984" s="10"/>
    </row>
    <row r="985" spans="2:11" ht="14.25" customHeight="1" x14ac:dyDescent="0.3">
      <c r="B985" s="7"/>
      <c r="C985" s="10"/>
      <c r="D985" s="12"/>
      <c r="E985" s="7"/>
      <c r="F985" s="7"/>
      <c r="G985" s="7"/>
      <c r="H985" s="10"/>
      <c r="I985" s="19"/>
      <c r="J985" s="10"/>
      <c r="K985" s="10"/>
    </row>
    <row r="986" spans="2:11" ht="14.25" customHeight="1" x14ac:dyDescent="0.3">
      <c r="B986" s="7"/>
      <c r="C986" s="10"/>
      <c r="D986" s="12"/>
      <c r="E986" s="7"/>
      <c r="F986" s="7"/>
      <c r="G986" s="7"/>
      <c r="H986" s="10"/>
      <c r="I986" s="19"/>
      <c r="J986" s="10"/>
      <c r="K986" s="10"/>
    </row>
    <row r="987" spans="2:11" ht="14.25" customHeight="1" x14ac:dyDescent="0.3">
      <c r="B987" s="7"/>
      <c r="C987" s="10"/>
      <c r="D987" s="12"/>
      <c r="E987" s="7"/>
      <c r="F987" s="7"/>
      <c r="G987" s="7"/>
      <c r="H987" s="10"/>
      <c r="I987" s="19"/>
      <c r="J987" s="10"/>
      <c r="K987" s="10"/>
    </row>
    <row r="988" spans="2:11" ht="14.25" customHeight="1" x14ac:dyDescent="0.3">
      <c r="B988" s="7"/>
      <c r="C988" s="10"/>
      <c r="D988" s="12"/>
      <c r="E988" s="7"/>
      <c r="F988" s="7"/>
      <c r="G988" s="7"/>
      <c r="H988" s="10"/>
      <c r="I988" s="19"/>
      <c r="J988" s="10"/>
      <c r="K988" s="10"/>
    </row>
    <row r="989" spans="2:11" ht="14.25" customHeight="1" x14ac:dyDescent="0.3">
      <c r="B989" s="7"/>
      <c r="C989" s="10"/>
      <c r="D989" s="12"/>
      <c r="E989" s="7"/>
      <c r="F989" s="7"/>
      <c r="G989" s="7"/>
      <c r="H989" s="10"/>
      <c r="I989" s="19"/>
      <c r="J989" s="10"/>
      <c r="K989" s="10"/>
    </row>
    <row r="990" spans="2:11" ht="14.25" customHeight="1" x14ac:dyDescent="0.3">
      <c r="B990" s="7"/>
      <c r="C990" s="10"/>
      <c r="D990" s="12"/>
      <c r="E990" s="7"/>
      <c r="F990" s="7"/>
      <c r="G990" s="7"/>
      <c r="H990" s="10"/>
      <c r="I990" s="19"/>
      <c r="J990" s="10"/>
      <c r="K990" s="10"/>
    </row>
    <row r="991" spans="2:11" ht="14.25" customHeight="1" x14ac:dyDescent="0.3">
      <c r="B991" s="7"/>
      <c r="C991" s="10"/>
      <c r="D991" s="12"/>
      <c r="E991" s="7"/>
      <c r="F991" s="7"/>
      <c r="G991" s="7"/>
      <c r="H991" s="10"/>
      <c r="I991" s="19"/>
      <c r="J991" s="10"/>
      <c r="K991" s="10"/>
    </row>
    <row r="992" spans="2:11" ht="14.25" customHeight="1" x14ac:dyDescent="0.3">
      <c r="B992" s="7"/>
      <c r="C992" s="10"/>
      <c r="D992" s="12"/>
      <c r="E992" s="7"/>
      <c r="F992" s="7"/>
      <c r="G992" s="7"/>
      <c r="H992" s="10"/>
      <c r="I992" s="19"/>
      <c r="J992" s="10"/>
      <c r="K992" s="10"/>
    </row>
    <row r="993" spans="2:11" ht="14.25" customHeight="1" x14ac:dyDescent="0.3">
      <c r="B993" s="7"/>
      <c r="C993" s="10"/>
      <c r="D993" s="12"/>
      <c r="E993" s="7"/>
      <c r="F993" s="7"/>
      <c r="G993" s="7"/>
      <c r="H993" s="10"/>
      <c r="I993" s="19"/>
      <c r="J993" s="10"/>
      <c r="K993" s="10"/>
    </row>
    <row r="994" spans="2:11" ht="14.25" customHeight="1" x14ac:dyDescent="0.3">
      <c r="B994" s="7"/>
      <c r="C994" s="10"/>
      <c r="D994" s="12"/>
      <c r="E994" s="7"/>
      <c r="F994" s="7"/>
      <c r="G994" s="7"/>
      <c r="H994" s="10"/>
      <c r="I994" s="19"/>
      <c r="J994" s="10"/>
      <c r="K994" s="10"/>
    </row>
    <row r="995" spans="2:11" ht="14.25" customHeight="1" x14ac:dyDescent="0.3">
      <c r="B995" s="7"/>
      <c r="C995" s="10"/>
      <c r="D995" s="12"/>
      <c r="E995" s="7"/>
      <c r="F995" s="7"/>
      <c r="G995" s="7"/>
      <c r="H995" s="10"/>
      <c r="I995" s="19"/>
      <c r="J995" s="10"/>
      <c r="K995" s="10"/>
    </row>
    <row r="996" spans="2:11" ht="14.25" customHeight="1" x14ac:dyDescent="0.3">
      <c r="B996" s="7"/>
      <c r="C996" s="10"/>
      <c r="D996" s="12"/>
      <c r="E996" s="7"/>
      <c r="F996" s="7"/>
      <c r="G996" s="7"/>
      <c r="H996" s="10"/>
      <c r="I996" s="19"/>
      <c r="J996" s="10"/>
      <c r="K996" s="10"/>
    </row>
    <row r="997" spans="2:11" ht="14.25" customHeight="1" x14ac:dyDescent="0.3">
      <c r="B997" s="7"/>
      <c r="C997" s="10"/>
      <c r="D997" s="12"/>
      <c r="E997" s="7"/>
      <c r="F997" s="7"/>
      <c r="G997" s="7"/>
      <c r="H997" s="10"/>
      <c r="I997" s="19"/>
      <c r="J997" s="10"/>
      <c r="K997" s="10"/>
    </row>
    <row r="998" spans="2:11" ht="14.25" customHeight="1" x14ac:dyDescent="0.3">
      <c r="B998" s="7"/>
      <c r="C998" s="10"/>
      <c r="D998" s="12"/>
      <c r="E998" s="7"/>
      <c r="F998" s="7"/>
      <c r="G998" s="7"/>
      <c r="H998" s="10"/>
      <c r="I998" s="19"/>
      <c r="J998" s="10"/>
      <c r="K998" s="10"/>
    </row>
    <row r="999" spans="2:11" ht="14.25" customHeight="1" x14ac:dyDescent="0.3">
      <c r="B999" s="7"/>
      <c r="C999" s="10"/>
      <c r="D999" s="12"/>
      <c r="E999" s="7"/>
      <c r="F999" s="7"/>
      <c r="G999" s="7"/>
      <c r="H999" s="10"/>
      <c r="I999" s="19"/>
      <c r="J999" s="10"/>
      <c r="K999" s="10"/>
    </row>
    <row r="1000" spans="2:11" ht="14.25" customHeight="1" x14ac:dyDescent="0.3">
      <c r="B1000" s="7"/>
      <c r="C1000" s="10"/>
      <c r="D1000" s="12"/>
      <c r="E1000" s="7"/>
      <c r="F1000" s="7"/>
      <c r="G1000" s="7"/>
      <c r="H1000" s="10"/>
      <c r="I1000" s="19"/>
      <c r="J1000" s="10"/>
      <c r="K1000" s="10"/>
    </row>
  </sheetData>
  <mergeCells count="37">
    <mergeCell ref="A1:I1"/>
    <mergeCell ref="B3:D3"/>
    <mergeCell ref="E3:F3"/>
    <mergeCell ref="B4:D4"/>
    <mergeCell ref="B5:D5"/>
    <mergeCell ref="B14:F14"/>
    <mergeCell ref="E15:F15"/>
    <mergeCell ref="B16:B30"/>
    <mergeCell ref="B31:B61"/>
    <mergeCell ref="C31:C61"/>
    <mergeCell ref="F37:G37"/>
    <mergeCell ref="F38:G38"/>
    <mergeCell ref="F39:G39"/>
    <mergeCell ref="F40:G40"/>
    <mergeCell ref="F41:G41"/>
    <mergeCell ref="F42:G42"/>
    <mergeCell ref="D43:E43"/>
    <mergeCell ref="F43:G43"/>
    <mergeCell ref="D51:D53"/>
    <mergeCell ref="E51:E53"/>
    <mergeCell ref="D54:D56"/>
    <mergeCell ref="B62:B71"/>
    <mergeCell ref="C62:C71"/>
    <mergeCell ref="C16:C30"/>
    <mergeCell ref="D18:D20"/>
    <mergeCell ref="E18:E20"/>
    <mergeCell ref="D23:D24"/>
    <mergeCell ref="E23:E24"/>
    <mergeCell ref="E25:E27"/>
    <mergeCell ref="D31:E31"/>
    <mergeCell ref="D25:D27"/>
    <mergeCell ref="D32:D36"/>
    <mergeCell ref="E32:E36"/>
    <mergeCell ref="E54:E57"/>
    <mergeCell ref="E58:E59"/>
    <mergeCell ref="E62:E65"/>
    <mergeCell ref="E67:E70"/>
  </mergeCells>
  <conditionalFormatting sqref="I16:I71">
    <cfRule type="cellIs" dxfId="2" priority="1" operator="equal">
      <formula>"FAILED"</formula>
    </cfRule>
    <cfRule type="cellIs" dxfId="1" priority="2" operator="equal">
      <formula>"PASSED WITH CONDITION"</formula>
    </cfRule>
    <cfRule type="cellIs" dxfId="0" priority="3" operator="equal">
      <formula>"PASSED"</formula>
    </cfRule>
  </conditionalFormatting>
  <dataValidations count="1">
    <dataValidation type="list" allowBlank="1" showErrorMessage="1" sqref="I16:I71" xr:uid="{00000000-0002-0000-0200-000000000000}">
      <formula1>"PASSED,PASSED WITH CONDITION,FAILED,N/A"</formula1>
    </dataValidation>
  </dataValidations>
  <pageMargins left="0.7" right="0.7" top="0.75" bottom="0.75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51E412D38024AAFFFBBDB3729E9B9" ma:contentTypeVersion="12" ma:contentTypeDescription="Create a new document." ma:contentTypeScope="" ma:versionID="c03f1c44977f8d4b53b6190d69e4fe84">
  <xsd:schema xmlns:xsd="http://www.w3.org/2001/XMLSchema" xmlns:xs="http://www.w3.org/2001/XMLSchema" xmlns:p="http://schemas.microsoft.com/office/2006/metadata/properties" xmlns:ns2="a7d211c4-e20d-472f-bd71-38bd98b34da8" xmlns:ns3="8c8fc12e-24f8-4a7c-af62-72968598c61b" targetNamespace="http://schemas.microsoft.com/office/2006/metadata/properties" ma:root="true" ma:fieldsID="1b6e9930612e04991bf9465a93fc26cd" ns2:_="" ns3:_="">
    <xsd:import namespace="a7d211c4-e20d-472f-bd71-38bd98b34da8"/>
    <xsd:import namespace="8c8fc12e-24f8-4a7c-af62-72968598c6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211c4-e20d-472f-bd71-38bd98b34d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fc12e-24f8-4a7c-af62-72968598c6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6b64878-e324-4999-9a43-0267ab0caee9}" ma:internalName="TaxCatchAll" ma:showField="CatchAllData" ma:web="8c8fc12e-24f8-4a7c-af62-72968598c6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8fc12e-24f8-4a7c-af62-72968598c61b" xsi:nil="true"/>
    <lcf76f155ced4ddcb4097134ff3c332f xmlns="a7d211c4-e20d-472f-bd71-38bd98b34d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632227-5A94-41DD-B728-DA73264C12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2E50DD-87BD-4E13-AF48-109C2A844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211c4-e20d-472f-bd71-38bd98b34da8"/>
    <ds:schemaRef ds:uri="8c8fc12e-24f8-4a7c-af62-72968598c6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6179E1-C38E-48CD-B805-2E0596313627}">
  <ds:schemaRefs>
    <ds:schemaRef ds:uri="http://schemas.microsoft.com/office/2006/metadata/properties"/>
    <ds:schemaRef ds:uri="http://schemas.microsoft.com/office/infopath/2007/PartnerControls"/>
    <ds:schemaRef ds:uri="8c8fc12e-24f8-4a7c-af62-72968598c61b"/>
    <ds:schemaRef ds:uri="a7d211c4-e20d-472f-bd71-38bd98b34d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PGW-API</vt:lpstr>
      <vt:lpstr>KPN-CardFull-API</vt:lpstr>
      <vt:lpstr>KPN-CardFull-JS-Logs</vt:lpstr>
      <vt:lpstr>KPN-Wallet-API</vt:lpstr>
      <vt:lpstr>KPN-Installment-API</vt:lpstr>
      <vt:lpstr>KPN-ODD-API</vt:lpstr>
      <vt:lpstr>Complicate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Sunisa Arayavilaipong</dc:creator>
  <cp:keywords/>
  <dc:description/>
  <cp:lastModifiedBy>Nuttawan Reabreang</cp:lastModifiedBy>
  <cp:revision/>
  <dcterms:created xsi:type="dcterms:W3CDTF">2022-06-30T12:28:04Z</dcterms:created>
  <dcterms:modified xsi:type="dcterms:W3CDTF">2026-10-09T09:20:53Z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6d43a5-0c77-41d3-9989-6983ab472f82_Enabled">
    <vt:lpwstr>true</vt:lpwstr>
  </property>
  <property fmtid="{D5CDD505-2E9C-101B-9397-08002B2CF9AE}" pid="3" name="MSIP_Label_5d6d43a5-0c77-41d3-9989-6983ab472f82_SetDate">
    <vt:lpwstr>2022-09-12T06:46:10Z</vt:lpwstr>
  </property>
  <property fmtid="{D5CDD505-2E9C-101B-9397-08002B2CF9AE}" pid="4" name="MSIP_Label_5d6d43a5-0c77-41d3-9989-6983ab472f82_Method">
    <vt:lpwstr>Standard</vt:lpwstr>
  </property>
  <property fmtid="{D5CDD505-2E9C-101B-9397-08002B2CF9AE}" pid="5" name="MSIP_Label_5d6d43a5-0c77-41d3-9989-6983ab472f82_Name">
    <vt:lpwstr>5d6d43a5-0c77-41d3-9989-6983ab472f82</vt:lpwstr>
  </property>
  <property fmtid="{D5CDD505-2E9C-101B-9397-08002B2CF9AE}" pid="6" name="MSIP_Label_5d6d43a5-0c77-41d3-9989-6983ab472f82_SiteId">
    <vt:lpwstr>8e11df9f-4615-434f-a6c6-8a0cb4ffeb6c</vt:lpwstr>
  </property>
  <property fmtid="{D5CDD505-2E9C-101B-9397-08002B2CF9AE}" pid="7" name="MSIP_Label_5d6d43a5-0c77-41d3-9989-6983ab472f82_ActionId">
    <vt:lpwstr>638f672a-e519-472e-9b59-bf941c49dbf8</vt:lpwstr>
  </property>
  <property fmtid="{D5CDD505-2E9C-101B-9397-08002B2CF9AE}" pid="8" name="MSIP_Label_5d6d43a5-0c77-41d3-9989-6983ab472f82_ContentBits">
    <vt:lpwstr>0</vt:lpwstr>
  </property>
  <property fmtid="{D5CDD505-2E9C-101B-9397-08002B2CF9AE}" pid="9" name="ContentTypeId">
    <vt:lpwstr>0x010100CCB51E412D38024AAFFFBBDB3729E9B9</vt:lpwstr>
  </property>
  <property fmtid="{D5CDD505-2E9C-101B-9397-08002B2CF9AE}" pid="10" name="MediaServiceImageTags">
    <vt:lpwstr/>
  </property>
</Properties>
</file>